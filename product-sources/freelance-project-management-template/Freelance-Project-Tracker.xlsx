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Overview" state="visible" r:id="rId5"/>
    <sheet sheetId="3" name="Clients" state="visible" r:id="rId6"/>
    <sheet sheetId="4" name="Projects" state="visible" r:id="rId7"/>
    <sheet sheetId="5" name="Tasks" state="visible" r:id="rId8"/>
  </sheets>
  <calcPr calcId="171027" fullCalcOnLoad="1"/>
</workbook>
</file>

<file path=xl/sharedStrings.xml><?xml version="1.0" encoding="utf-8"?>
<sst xmlns="http://schemas.openxmlformats.org/spreadsheetml/2006/main" count="278" uniqueCount="155">
  <si>
    <t>Freelance Project Tracker</t>
  </si>
  <si>
    <t>Track clients, projects and tasks in one place, with an automatic overview of what is overdue and what is due next.</t>
  </si>
  <si>
    <t/>
  </si>
  <si>
    <t>Quick start</t>
  </si>
  <si>
    <t>1. Delete the SAMPLE rows on Clients, Projects and Tasks (see below).</t>
  </si>
  <si>
    <t>2. Add your clients on "Clients" - give each a unique Client ID (e.g. C-001).</t>
  </si>
  <si>
    <t>3. Add projects on "Projects" - give each a unique Project ID (e.g. P-001) and pick the Client ID from the drop-down. The client name fills in automatically.</t>
  </si>
  <si>
    <t>4. Add tasks on "Tasks" - pick the Project ID, status and priority from the drop-downs, and enter a due date. When a task is finished set its status to Done and enter the done date.</t>
  </si>
  <si>
    <t>5. Check "Overview" for counts, overdue work and upcoming deadlines.</t>
  </si>
  <si>
    <t>IMPORTANT - sample data</t>
  </si>
  <si>
    <t>The 5 clients, 7 projects and 21 tasks supplied are fictional SAMPLE data (names end in "(sample)" or notes say SAMPLE). Delete them before use.</t>
  </si>
  <si>
    <t>How to delete: select the sample rows inside each table, right-click and choose Delete &gt; Table Rows. Do this on Tasks first, then Projects, then Clients.</t>
  </si>
  <si>
    <t>Sheet guide</t>
  </si>
  <si>
    <t>Clients - client ID, name, contact person, email and notes.</t>
  </si>
  <si>
    <t>Projects - project ID and name, client ID (drop-down), client name (looked up automatically), start date, deadline, budget, status, priority, % complete (calculated from tasks marked Done) and days to deadline.</t>
  </si>
  <si>
    <t>Tasks - task, project ID (drop-down), owner, status (Not started / In progress / Blocked / Done), priority (Low / Medium / High / Urgent), due date, done date and days overdue (calculated).</t>
  </si>
  <si>
    <t>Overview - counts by status and priority, overdue tasks and projects, and deadlines inside the "upcoming window".</t>
  </si>
  <si>
    <t>Report date and upcoming window</t>
  </si>
  <si>
    <t>Overview cell B3 holds the report date. It is =TODAY() so the workbook always reports "as of today". To see the position on another date, type a date into B3; to go back, enter =TODAY() again.</t>
  </si>
  <si>
    <t>Overview cell B4 sets the upcoming window in days (default 14). "Due soon" counts include items due from the report date up to report date + window.</t>
  </si>
  <si>
    <t>Rules used by the calculations</t>
  </si>
  <si>
    <t>- A task is overdue when its status is not Done and its due date is before the report date. Days overdue = report date minus due date.</t>
  </si>
  <si>
    <t>- A project counts as open unless its status is Completed or Cancelled. Open projects past their deadline are flagged red; deadlines inside the window are amber.</t>
  </si>
  <si>
    <t>- % complete = tasks marked Done / all tasks for that project (0% when a project has no tasks yet).</t>
  </si>
  <si>
    <t>Tips</t>
  </si>
  <si>
    <t>- To add a row, type in the first empty row directly under a table - the table grows automatically and the calculated columns are already filled in. Calculations read rows 5 to 1000.</t>
  </si>
  <si>
    <t>- Keep IDs unique and type them exactly the same way on every sheet (the drop-downs help).</t>
  </si>
  <si>
    <t>- Shaded cells contain formulas - do not type over them.</t>
  </si>
  <si>
    <t>Compatibility</t>
  </si>
  <si>
    <t>Built for Microsoft Excel 2016+ and compatible spreadsheet apps; formulas verified with an automated recalculation test.</t>
  </si>
  <si>
    <t>The workbook uses only standard functions (COUNTIFS, SUMIFS, INDEX, MATCH, IFERROR, TODAY and similar) - no macros, no external links, no dynamic-array functions.</t>
  </si>
  <si>
    <t>Overview</t>
  </si>
  <si>
    <t>Report date (=TODAY() by default; type a date to override)</t>
  </si>
  <si>
    <t>Upcoming window (days)</t>
  </si>
  <si>
    <t>Tasks by status</t>
  </si>
  <si>
    <t>Projects by status</t>
  </si>
  <si>
    <t>Status</t>
  </si>
  <si>
    <t>Tasks</t>
  </si>
  <si>
    <t>Share</t>
  </si>
  <si>
    <t>Projects</t>
  </si>
  <si>
    <t>Not started</t>
  </si>
  <si>
    <t>Planned</t>
  </si>
  <si>
    <t>In progress</t>
  </si>
  <si>
    <t>Active</t>
  </si>
  <si>
    <t>Blocked</t>
  </si>
  <si>
    <t>On hold</t>
  </si>
  <si>
    <t>Done</t>
  </si>
  <si>
    <t>Completed</t>
  </si>
  <si>
    <t>Cancelled</t>
  </si>
  <si>
    <t>Tasks by priority</t>
  </si>
  <si>
    <t>Projects by priority</t>
  </si>
  <si>
    <t>Priority</t>
  </si>
  <si>
    <t>All tasks</t>
  </si>
  <si>
    <t>Open tasks</t>
  </si>
  <si>
    <t>All</t>
  </si>
  <si>
    <t>Open</t>
  </si>
  <si>
    <t>Low</t>
  </si>
  <si>
    <t>Medium</t>
  </si>
  <si>
    <t>High</t>
  </si>
  <si>
    <t>Urgent</t>
  </si>
  <si>
    <t>Key metrics</t>
  </si>
  <si>
    <t>Metric</t>
  </si>
  <si>
    <t>Value</t>
  </si>
  <si>
    <t>Total tasks</t>
  </si>
  <si>
    <t>Open tasks (not Done)</t>
  </si>
  <si>
    <t>Overdue tasks</t>
  </si>
  <si>
    <t>Most overdue task (days)</t>
  </si>
  <si>
    <t>Open projects (not Completed / Cancelled)</t>
  </si>
  <si>
    <t>Open projects past deadline</t>
  </si>
  <si>
    <t>Budget of open projects</t>
  </si>
  <si>
    <t>Average % complete of open projects</t>
  </si>
  <si>
    <t>Clients</t>
  </si>
  <si>
    <t>SAMPLE DATA: rows 5-9 are fictional. Delete them (select rows &gt; right-click &gt; Delete &gt; Table Rows) before use.</t>
  </si>
  <si>
    <t>Client ID</t>
  </si>
  <si>
    <t>Client name</t>
  </si>
  <si>
    <t>Contact person</t>
  </si>
  <si>
    <t>Email</t>
  </si>
  <si>
    <t>Notes</t>
  </si>
  <si>
    <t>C-001</t>
  </si>
  <si>
    <t>Maple &amp; Finch Interiors (sample)</t>
  </si>
  <si>
    <t>Jordan Ellery</t>
  </si>
  <si>
    <t>jordan@maplefinch.example</t>
  </si>
  <si>
    <t>SAMPLE - Prefers email; invoices monthly</t>
  </si>
  <si>
    <t>C-002</t>
  </si>
  <si>
    <t>Copperleaf Cafe (sample)</t>
  </si>
  <si>
    <t>Priya Hollis</t>
  </si>
  <si>
    <t>priya@copperleaf.example</t>
  </si>
  <si>
    <t>SAMPLE - Weekly check-in on Mondays</t>
  </si>
  <si>
    <t>C-003</t>
  </si>
  <si>
    <t>Fernhill Physio (sample)</t>
  </si>
  <si>
    <t>Marcus Dunmore</t>
  </si>
  <si>
    <t>marcus@fernhill.example</t>
  </si>
  <si>
    <t>SAMPLE - Needs accessible booking flow</t>
  </si>
  <si>
    <t>C-004</t>
  </si>
  <si>
    <t>Northgate Community Library (sample)</t>
  </si>
  <si>
    <t>Ada Penrose</t>
  </si>
  <si>
    <t>ada@northgate.example</t>
  </si>
  <si>
    <t>SAMPLE - Purchase order required</t>
  </si>
  <si>
    <t>C-005</t>
  </si>
  <si>
    <t>Brightwater Dental (sample)</t>
  </si>
  <si>
    <t>Leo Ashcombe</t>
  </si>
  <si>
    <t>leo@brightwater.example</t>
  </si>
  <si>
    <t>SAMPLE - Retainer client</t>
  </si>
  <si>
    <t>SAMPLE DATA: rows 5-11 are fictional. Delete them before use. Shaded columns are calculated.</t>
  </si>
  <si>
    <t>Project ID</t>
  </si>
  <si>
    <t>Project name</t>
  </si>
  <si>
    <t>Start date</t>
  </si>
  <si>
    <t>Deadline</t>
  </si>
  <si>
    <t>Budget</t>
  </si>
  <si>
    <t>% complete</t>
  </si>
  <si>
    <t>Days to deadline</t>
  </si>
  <si>
    <t>P-001</t>
  </si>
  <si>
    <t>Website refresh (sample)</t>
  </si>
  <si>
    <t>P-002</t>
  </si>
  <si>
    <t>Brand guidelines (sample)</t>
  </si>
  <si>
    <t>P-003</t>
  </si>
  <si>
    <t>Booking app prototype (sample)</t>
  </si>
  <si>
    <t>P-004</t>
  </si>
  <si>
    <t>SEO audit (sample)</t>
  </si>
  <si>
    <t>P-005</t>
  </si>
  <si>
    <t>Newsletter templates (sample)</t>
  </si>
  <si>
    <t>P-006</t>
  </si>
  <si>
    <t>Photo edits (sample)</t>
  </si>
  <si>
    <t>P-007</t>
  </si>
  <si>
    <t>Social media kit (sample)</t>
  </si>
  <si>
    <t>SAMPLE DATA: rows 5-25 are fictional. Delete them before use. "Days overdue" is calculated against the report date on Overview.</t>
  </si>
  <si>
    <t>Task</t>
  </si>
  <si>
    <t>Owner</t>
  </si>
  <si>
    <t>Due date</t>
  </si>
  <si>
    <t>Done date</t>
  </si>
  <si>
    <t>Days overdue</t>
  </si>
  <si>
    <t>Content audit (sample)</t>
  </si>
  <si>
    <t>Me</t>
  </si>
  <si>
    <t>Wireframes (sample)</t>
  </si>
  <si>
    <t>Homepage design (sample)</t>
  </si>
  <si>
    <t>Sam (contractor)</t>
  </si>
  <si>
    <t>Build page templates (sample)</t>
  </si>
  <si>
    <t>Launch checklist (sample)</t>
  </si>
  <si>
    <t>Moodboard (sample)</t>
  </si>
  <si>
    <t>Logo refinements (sample)</t>
  </si>
  <si>
    <t>Alex (contractor)</t>
  </si>
  <si>
    <t>Colour &amp; type spec (sample)</t>
  </si>
  <si>
    <t>Guidelines PDF (sample)</t>
  </si>
  <si>
    <t>Discovery call notes (sample)</t>
  </si>
  <si>
    <t>User flows (sample)</t>
  </si>
  <si>
    <t>Clickable prototype (sample)</t>
  </si>
  <si>
    <t>Usability test (sample)</t>
  </si>
  <si>
    <t>Crawl report (sample)</t>
  </si>
  <si>
    <t>Recommendations document (sample)</t>
  </si>
  <si>
    <t>Template wireframes (sample)</t>
  </si>
  <si>
    <t>Test sends (sample)</t>
  </si>
  <si>
    <t>Select images (sample)</t>
  </si>
  <si>
    <t>Content calendar (sample)</t>
  </si>
  <si>
    <t>Template set (sample)</t>
  </si>
  <si>
    <t>Invoice final payment (sample)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</si>
</sst>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 mmm yyyy"/>
    <numFmt numFmtId="165" formatCode="0.0%"/>
    <numFmt numFmtId="166" formatCode="#,##0.00;[Red]-#,##0.00"/>
  </numFmts>
  <fonts count="9" x14ac:knownFonts="1">
    <font>
      <color theme="1"/>
      <family val="2"/>
      <scheme val="minor"/>
      <sz val="11"/>
      <name val="Calibri"/>
    </font>
    <font>
      <b/>
      <color rgb="FF1F4E5F"/>
      <sz val="18"/>
    </font>
    <font>
      <i/>
      <color rgb="FF64748B"/>
    </font>
    <font>
      <b/>
      <color rgb="FF1F4E5F"/>
      <sz val="13"/>
    </font>
    <font>
      <b/>
      <color rgb="FFB45309"/>
    </font>
    <font>
      <b/>
    </font>
    <font>
      <b/>
      <color rgb="FF1F4E5F"/>
      <sz val="12"/>
    </font>
    <font>
      <b/>
      <color rgb="FFFFFFFF"/>
    </font>
    <font>
      <b/>
      <color rgb="FF1F4E5F"/>
      <sz val="16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164" fontId="0" fillId="0" borderId="1" xfId="0" applyNumberFormat="1" applyBorder="1"/>
    <xf numFmtId="0" fontId="0" fillId="0" borderId="1" xfId="0" applyBorder="1"/>
    <xf numFmtId="0" fontId="6" fillId="0" borderId="0" xfId="0" applyFont="1"/>
    <xf numFmtId="0" fontId="7" fillId="2" borderId="0" xfId="0" applyFont="1" applyFill="1" applyAlignment="1">
      <alignment vertical="center" wrapText="1"/>
    </xf>
    <xf numFmtId="1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8" fillId="0" borderId="0" xfId="0" applyFont="1"/>
    <xf numFmtId="0" fontId="4" fillId="0" borderId="0" xfId="0" applyFont="1"/>
    <xf numFmtId="164" fontId="0" fillId="0" borderId="0" xfId="0" applyNumberFormat="1"/>
    <xf numFmtId="166" fontId="0" fillId="0" borderId="0" xfId="0" applyNumberFormat="1"/>
    <xf numFmtId="0" fontId="0" fillId="3" borderId="0" xfId="0" applyFill="1"/>
  </cellXfs>
  <cellStyles count="1">
    <cellStyle name="Normal" xfId="0" builtinId="0"/>
  </cellStyles>
  <dxfs count="14"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color rgb="FF92400E"/>
      </font>
      <fill>
        <patternFill patternType="solid">
          <fgColor rgb="FFFEF3C7"/>
        </patternFill>
      </fill>
    </dxf>
    <dxf>
      <font>
        <color rgb="FF166534"/>
      </font>
      <fill>
        <patternFill patternType="solid">
          <fgColor rgb="FFDCFCE7"/>
        </patternFill>
      </fill>
    </dxf>
    <dxf>
      <font>
        <color rgb="FF1E40AF"/>
      </font>
      <fill>
        <patternFill patternType="solid">
          <fgColor rgb="FFDBEAFE"/>
        </patternFill>
      </fill>
    </dxf>
    <dxf>
      <font>
        <color rgb="FF92400E"/>
      </font>
      <fill>
        <patternFill patternType="solid">
          <fgColor rgb="FFFEF3C7"/>
        </patternFill>
      </fill>
    </dxf>
    <dxf>
      <font>
        <color rgb="FF64748B"/>
        <strike/>
      </font>
    </dxf>
    <dxf>
      <font>
        <color rgb="FF991B1B"/>
      </font>
      <fill>
        <patternFill patternType="solid">
          <fgColor rgb="FFFEE2E2"/>
        </patternFill>
      </fill>
    </dxf>
    <dxf>
      <font>
        <color rgb="FF166534"/>
      </font>
      <fill>
        <patternFill patternType="solid">
          <fgColor rgb="FFDCFCE7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color rgb="FF1E40AF"/>
      </font>
      <fill>
        <patternFill patternType="solid">
          <fgColor rgb="FFDBEAFE"/>
        </patternFill>
      </fill>
    </dxf>
    <dxf>
      <font>
        <b/>
        <color rgb="FF991B1B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ClientsTable" displayName="ClientsTable" ref="A4:E9" totalsRowShown="1" headerRowCount="1">
  <autoFilter ref="A4:E9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Client ID" totalsRowLabel="Total"/>
    <tableColumn id="2" name="Client name" totalsRowFunction="none"/>
    <tableColumn id="3" name="Contact person" totalsRowFunction="none"/>
    <tableColumn id="4" name="Email" totalsRowFunction="none"/>
    <tableColumn id="5" name="Notes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ProjectsTable" displayName="ProjectsTable" ref="A4:K11" totalsRowShown="1" headerRowCount="1">
  <autoFilter ref="A4:K1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</autoFilter>
  <tableColumns count="11">
    <tableColumn id="1" name="Project ID" totalsRowLabel="Total"/>
    <tableColumn id="2" name="Project name" totalsRowFunction="none"/>
    <tableColumn id="3" name="Client ID" totalsRowFunction="none"/>
    <tableColumn id="4" name="Client name" totalsRowFunction="none"/>
    <tableColumn id="5" name="Start date" totalsRowFunction="none"/>
    <tableColumn id="6" name="Deadline" totalsRowFunction="none"/>
    <tableColumn id="7" name="Budget" totalsRowFunction="none"/>
    <tableColumn id="8" name="Status" totalsRowFunction="none"/>
    <tableColumn id="9" name="Priority" totalsRowFunction="none"/>
    <tableColumn id="10" name="% complete" totalsRowFunction="none"/>
    <tableColumn id="11" name="Days to deadline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sksTable" displayName="TasksTable" ref="A4:H25" totalsRowShown="1" headerRowCount="1">
  <autoFilter ref="A4:H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Task" totalsRowLabel="Total"/>
    <tableColumn id="2" name="Project ID" totalsRowFunction="none"/>
    <tableColumn id="3" name="Owner" totalsRowFunction="none"/>
    <tableColumn id="4" name="Status" totalsRowFunction="none"/>
    <tableColumn id="5" name="Priority" totalsRowFunction="none"/>
    <tableColumn id="6" name="Due date" totalsRowFunction="none"/>
    <tableColumn id="7" name="Done date" totalsRowFunction="none"/>
    <tableColumn id="8" name="Days overdue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5F"/>
  </sheetPr>
  <dimension ref="A1:A38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4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8</v>
      </c>
    </row>
    <row r="11" spans="1:1" x14ac:dyDescent="0.25">
      <c r="A11" s="3" t="s">
        <v>2</v>
      </c>
    </row>
    <row r="12" spans="1:1" x14ac:dyDescent="0.25">
      <c r="A12" s="4" t="s">
        <v>9</v>
      </c>
    </row>
    <row r="13" spans="1:1" x14ac:dyDescent="0.25">
      <c r="A13" s="5" t="s">
        <v>10</v>
      </c>
    </row>
    <row r="14" spans="1:1" x14ac:dyDescent="0.25">
      <c r="A14" s="3" t="s">
        <v>11</v>
      </c>
    </row>
    <row r="15" spans="1:1" x14ac:dyDescent="0.25">
      <c r="A15" s="3" t="s">
        <v>2</v>
      </c>
    </row>
    <row r="16" spans="1:1" x14ac:dyDescent="0.25">
      <c r="A16" s="4" t="s">
        <v>12</v>
      </c>
    </row>
    <row r="17" spans="1:1" x14ac:dyDescent="0.25">
      <c r="A17" s="3" t="s">
        <v>13</v>
      </c>
    </row>
    <row r="18" spans="1:1" x14ac:dyDescent="0.25">
      <c r="A18" s="3" t="s">
        <v>14</v>
      </c>
    </row>
    <row r="19" spans="1:1" x14ac:dyDescent="0.25">
      <c r="A19" s="3" t="s">
        <v>15</v>
      </c>
    </row>
    <row r="20" spans="1:1" x14ac:dyDescent="0.25">
      <c r="A20" s="3" t="s">
        <v>16</v>
      </c>
    </row>
    <row r="21" spans="1:1" x14ac:dyDescent="0.25">
      <c r="A21" s="3" t="s">
        <v>2</v>
      </c>
    </row>
    <row r="22" spans="1:1" x14ac:dyDescent="0.25">
      <c r="A22" s="4" t="s">
        <v>17</v>
      </c>
    </row>
    <row r="23" spans="1:1" x14ac:dyDescent="0.25">
      <c r="A23" s="3" t="s">
        <v>18</v>
      </c>
    </row>
    <row r="24" spans="1:1" x14ac:dyDescent="0.25">
      <c r="A24" s="3" t="s">
        <v>19</v>
      </c>
    </row>
    <row r="25" spans="1:1" x14ac:dyDescent="0.25">
      <c r="A25" s="3" t="s">
        <v>2</v>
      </c>
    </row>
    <row r="26" spans="1:1" x14ac:dyDescent="0.25">
      <c r="A26" s="4" t="s">
        <v>20</v>
      </c>
    </row>
    <row r="27" spans="1:1" x14ac:dyDescent="0.25">
      <c r="A27" s="3" t="s">
        <v>21</v>
      </c>
    </row>
    <row r="28" spans="1:1" x14ac:dyDescent="0.25">
      <c r="A28" s="3" t="s">
        <v>22</v>
      </c>
    </row>
    <row r="29" spans="1:1" x14ac:dyDescent="0.25">
      <c r="A29" s="3" t="s">
        <v>23</v>
      </c>
    </row>
    <row r="30" spans="1:1" x14ac:dyDescent="0.25">
      <c r="A30" s="3" t="s">
        <v>2</v>
      </c>
    </row>
    <row r="31" spans="1:1" x14ac:dyDescent="0.25">
      <c r="A31" s="4" t="s">
        <v>24</v>
      </c>
    </row>
    <row r="32" spans="1:1" x14ac:dyDescent="0.25">
      <c r="A32" s="3" t="s">
        <v>25</v>
      </c>
    </row>
    <row r="33" spans="1:1" x14ac:dyDescent="0.25">
      <c r="A33" s="3" t="s">
        <v>26</v>
      </c>
    </row>
    <row r="34" spans="1:1" x14ac:dyDescent="0.25">
      <c r="A34" s="3" t="s">
        <v>27</v>
      </c>
    </row>
    <row r="35" spans="1:1" x14ac:dyDescent="0.25">
      <c r="A35" s="3" t="s">
        <v>2</v>
      </c>
    </row>
    <row r="36" spans="1:1" x14ac:dyDescent="0.25">
      <c r="A36" s="4" t="s">
        <v>28</v>
      </c>
    </row>
    <row r="37" spans="1:1" x14ac:dyDescent="0.25">
      <c r="A37" s="3" t="s">
        <v>29</v>
      </c>
    </row>
    <row r="38" spans="1:1" x14ac:dyDescent="0.25">
      <c r="A38" s="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  <pageSetUpPr fitToPage="1"/>
  </sheetPr>
  <dimension ref="A1:G32"/>
  <sheetViews>
    <sheetView workbookViewId="0" showGridLines="0"/>
  </sheetViews>
  <sheetFormatPr defaultRowHeight="15" outlineLevelRow="0" outlineLevelCol="0" x14ac:dyDescent="55"/>
  <cols>
    <col min="1" max="1" width="40" customWidth="1"/>
    <col min="2" max="3" width="14" customWidth="1"/>
    <col min="4" max="4" width="4" customWidth="1"/>
    <col min="5" max="5" width="22" customWidth="1"/>
    <col min="6" max="7" width="12" customWidth="1"/>
  </cols>
  <sheetData>
    <row r="1" spans="1:1" x14ac:dyDescent="0.25">
      <c r="A1" s="1" t="s">
        <v>31</v>
      </c>
    </row>
    <row r="3" spans="1:2" x14ac:dyDescent="0.25">
      <c r="A3" s="6" t="s">
        <v>32</v>
      </c>
      <c r="B3" s="7">
        <f>TODAY()</f>
        <v>46323</v>
      </c>
    </row>
    <row r="4" spans="1:2" x14ac:dyDescent="0.25">
      <c r="A4" s="6" t="s">
        <v>33</v>
      </c>
      <c r="B4" s="8">
        <v>14</v>
      </c>
    </row>
    <row r="6" spans="1:5" x14ac:dyDescent="0.25">
      <c r="A6" s="9" t="s">
        <v>34</v>
      </c>
      <c r="E6" s="9" t="s">
        <v>35</v>
      </c>
    </row>
    <row r="7" spans="1:6" x14ac:dyDescent="0.25">
      <c r="A7" s="10" t="s">
        <v>36</v>
      </c>
      <c r="B7" s="10" t="s">
        <v>37</v>
      </c>
      <c r="C7" s="10" t="s">
        <v>38</v>
      </c>
      <c r="E7" s="10" t="s">
        <v>36</v>
      </c>
      <c r="F7" s="10" t="s">
        <v>39</v>
      </c>
    </row>
    <row r="8" spans="1:6" x14ac:dyDescent="0.25">
      <c r="A8" t="s">
        <v>40</v>
      </c>
      <c r="B8" s="11">
        <f>COUNTIFS(Tasks!$A$5:$A$1000,"&lt;&gt;",Tasks!$D$5:$D$1000,$A8)</f>
        <v>7</v>
      </c>
      <c r="C8" s="12">
        <f>IF($B$22=0,0,B8/$B$22)</f>
        <v>0.33333333333</v>
      </c>
      <c r="E8" t="s">
        <v>41</v>
      </c>
      <c r="F8" s="11">
        <f>COUNTIFS(Projects!$A$5:$A$1000,"&lt;&gt;",Projects!$H$5:$H$1000,$E8)</f>
        <v>1</v>
      </c>
    </row>
    <row r="9" spans="1:6" x14ac:dyDescent="0.25">
      <c r="A9" t="s">
        <v>42</v>
      </c>
      <c r="B9" s="11">
        <f>COUNTIFS(Tasks!$A$5:$A$1000,"&lt;&gt;",Tasks!$D$5:$D$1000,$A9)</f>
        <v>4</v>
      </c>
      <c r="C9" s="12">
        <f>IF($B$22=0,0,B9/$B$22)</f>
        <v>0.19047619048</v>
      </c>
      <c r="E9" t="s">
        <v>43</v>
      </c>
      <c r="F9" s="11">
        <f>COUNTIFS(Projects!$A$5:$A$1000,"&lt;&gt;",Projects!$H$5:$H$1000,$E9)</f>
        <v>3</v>
      </c>
    </row>
    <row r="10" spans="1:6" x14ac:dyDescent="0.25">
      <c r="A10" t="s">
        <v>44</v>
      </c>
      <c r="B10" s="11">
        <f>COUNTIFS(Tasks!$A$5:$A$1000,"&lt;&gt;",Tasks!$D$5:$D$1000,$A10)</f>
        <v>2</v>
      </c>
      <c r="C10" s="12">
        <f>IF($B$22=0,0,B10/$B$22)</f>
        <v>0.095238095238</v>
      </c>
      <c r="E10" t="s">
        <v>45</v>
      </c>
      <c r="F10" s="11">
        <f>COUNTIFS(Projects!$A$5:$A$1000,"&lt;&gt;",Projects!$H$5:$H$1000,$E10)</f>
        <v>1</v>
      </c>
    </row>
    <row r="11" spans="1:6" x14ac:dyDescent="0.25">
      <c r="A11" t="s">
        <v>46</v>
      </c>
      <c r="B11" s="11">
        <f>COUNTIFS(Tasks!$A$5:$A$1000,"&lt;&gt;",Tasks!$D$5:$D$1000,$A11)</f>
        <v>8</v>
      </c>
      <c r="C11" s="12">
        <f>IF($B$22=0,0,B11/$B$22)</f>
        <v>0.38095238095</v>
      </c>
      <c r="E11" t="s">
        <v>47</v>
      </c>
      <c r="F11" s="11">
        <f>COUNTIFS(Projects!$A$5:$A$1000,"&lt;&gt;",Projects!$H$5:$H$1000,$E11)</f>
        <v>1</v>
      </c>
    </row>
    <row r="12" spans="5:6" x14ac:dyDescent="0.25">
      <c r="E12" t="s">
        <v>48</v>
      </c>
      <c r="F12" s="11">
        <f>COUNTIFS(Projects!$A$5:$A$1000,"&lt;&gt;",Projects!$H$5:$H$1000,$E12)</f>
        <v>1</v>
      </c>
    </row>
    <row r="13" spans="1:5" x14ac:dyDescent="0.25">
      <c r="A13" s="9" t="s">
        <v>49</v>
      </c>
      <c r="E13" s="9" t="s">
        <v>50</v>
      </c>
    </row>
    <row r="14" spans="1:7" x14ac:dyDescent="0.25">
      <c r="A14" s="10" t="s">
        <v>51</v>
      </c>
      <c r="B14" s="10" t="s">
        <v>52</v>
      </c>
      <c r="C14" s="10" t="s">
        <v>53</v>
      </c>
      <c r="E14" s="10" t="s">
        <v>51</v>
      </c>
      <c r="F14" s="10" t="s">
        <v>54</v>
      </c>
      <c r="G14" s="10" t="s">
        <v>55</v>
      </c>
    </row>
    <row r="15" spans="1:7" x14ac:dyDescent="0.25">
      <c r="A15" t="s">
        <v>56</v>
      </c>
      <c r="B15" s="11">
        <f>COUNTIFS(Tasks!$A$5:$A$1000,"&lt;&gt;",Tasks!$E$5:$E$1000,$A15)</f>
        <v>4</v>
      </c>
      <c r="C15" s="11">
        <f>COUNTIFS(Tasks!$A$5:$A$1000,"&lt;&gt;",Tasks!$D$5:$D$1000,"&lt;&gt;Done",Tasks!$E$5:$E$1000,$A15)</f>
        <v>1</v>
      </c>
      <c r="E15" t="s">
        <v>56</v>
      </c>
      <c r="F15" s="11">
        <f>COUNTIFS(Projects!$A$5:$A$1000,"&lt;&gt;",Projects!$I$5:$I$1000,$E15)</f>
        <v>2</v>
      </c>
      <c r="G15" s="11">
        <f>COUNTIFS(Projects!$A$5:$A$1000,"&lt;&gt;",Projects!$H$5:$H$1000,"&lt;&gt;Completed",Projects!$H$5:$H$1000,"&lt;&gt;Cancelled",Projects!$I$5:$I$1000,$E15)</f>
        <v>0</v>
      </c>
    </row>
    <row r="16" spans="1:7" x14ac:dyDescent="0.25">
      <c r="A16" t="s">
        <v>57</v>
      </c>
      <c r="B16" s="11">
        <f>COUNTIFS(Tasks!$A$5:$A$1000,"&lt;&gt;",Tasks!$E$5:$E$1000,$A16)</f>
        <v>7</v>
      </c>
      <c r="C16" s="11">
        <f>COUNTIFS(Tasks!$A$5:$A$1000,"&lt;&gt;",Tasks!$D$5:$D$1000,"&lt;&gt;Done",Tasks!$E$5:$E$1000,$A16)</f>
        <v>4</v>
      </c>
      <c r="E16" t="s">
        <v>57</v>
      </c>
      <c r="F16" s="11">
        <f>COUNTIFS(Projects!$A$5:$A$1000,"&lt;&gt;",Projects!$I$5:$I$1000,$E16)</f>
        <v>2</v>
      </c>
      <c r="G16" s="11">
        <f>COUNTIFS(Projects!$A$5:$A$1000,"&lt;&gt;",Projects!$H$5:$H$1000,"&lt;&gt;Completed",Projects!$H$5:$H$1000,"&lt;&gt;Cancelled",Projects!$I$5:$I$1000,$E16)</f>
        <v>2</v>
      </c>
    </row>
    <row r="17" spans="1:7" x14ac:dyDescent="0.25">
      <c r="A17" t="s">
        <v>58</v>
      </c>
      <c r="B17" s="11">
        <f>COUNTIFS(Tasks!$A$5:$A$1000,"&lt;&gt;",Tasks!$E$5:$E$1000,$A17)</f>
        <v>7</v>
      </c>
      <c r="C17" s="11">
        <f>COUNTIFS(Tasks!$A$5:$A$1000,"&lt;&gt;",Tasks!$D$5:$D$1000,"&lt;&gt;Done",Tasks!$E$5:$E$1000,$A17)</f>
        <v>5</v>
      </c>
      <c r="E17" t="s">
        <v>58</v>
      </c>
      <c r="F17" s="11">
        <f>COUNTIFS(Projects!$A$5:$A$1000,"&lt;&gt;",Projects!$I$5:$I$1000,$E17)</f>
        <v>2</v>
      </c>
      <c r="G17" s="11">
        <f>COUNTIFS(Projects!$A$5:$A$1000,"&lt;&gt;",Projects!$H$5:$H$1000,"&lt;&gt;Completed",Projects!$H$5:$H$1000,"&lt;&gt;Cancelled",Projects!$I$5:$I$1000,$E17)</f>
        <v>2</v>
      </c>
    </row>
    <row r="18" spans="1:7" x14ac:dyDescent="0.25">
      <c r="A18" t="s">
        <v>59</v>
      </c>
      <c r="B18" s="11">
        <f>COUNTIFS(Tasks!$A$5:$A$1000,"&lt;&gt;",Tasks!$E$5:$E$1000,$A18)</f>
        <v>3</v>
      </c>
      <c r="C18" s="11">
        <f>COUNTIFS(Tasks!$A$5:$A$1000,"&lt;&gt;",Tasks!$D$5:$D$1000,"&lt;&gt;Done",Tasks!$E$5:$E$1000,$A18)</f>
        <v>3</v>
      </c>
      <c r="E18" t="s">
        <v>59</v>
      </c>
      <c r="F18" s="11">
        <f>COUNTIFS(Projects!$A$5:$A$1000,"&lt;&gt;",Projects!$I$5:$I$1000,$E18)</f>
        <v>1</v>
      </c>
      <c r="G18" s="11">
        <f>COUNTIFS(Projects!$A$5:$A$1000,"&lt;&gt;",Projects!$H$5:$H$1000,"&lt;&gt;Completed",Projects!$H$5:$H$1000,"&lt;&gt;Cancelled",Projects!$I$5:$I$1000,$E18)</f>
        <v>1</v>
      </c>
    </row>
    <row r="20" spans="1:1" x14ac:dyDescent="0.25">
      <c r="A20" s="9" t="s">
        <v>60</v>
      </c>
    </row>
    <row r="21" spans="1:2" x14ac:dyDescent="0.25">
      <c r="A21" s="10" t="s">
        <v>61</v>
      </c>
      <c r="B21" s="10" t="s">
        <v>62</v>
      </c>
    </row>
    <row r="22" spans="1:2" x14ac:dyDescent="0.25">
      <c r="A22" s="6" t="s">
        <v>63</v>
      </c>
      <c r="B22" s="11">
        <f>COUNTIFS(Tasks!$A$5:$A$1000,"&lt;&gt;")</f>
        <v>21</v>
      </c>
    </row>
    <row r="23" spans="1:2" x14ac:dyDescent="0.25">
      <c r="A23" s="6" t="s">
        <v>64</v>
      </c>
      <c r="B23" s="11">
        <f>COUNTIFS(Tasks!$A$5:$A$1000,"&lt;&gt;",Tasks!$D$5:$D$1000,"&lt;&gt;Done")</f>
        <v>13</v>
      </c>
    </row>
    <row r="24" spans="1:2" x14ac:dyDescent="0.25">
      <c r="A24" s="6" t="s">
        <v>65</v>
      </c>
      <c r="B24" s="11">
        <f>COUNTIFS(Tasks!$A$5:$A$1000,"&lt;&gt;",Tasks!$D$5:$D$1000,"&lt;&gt;Done",Tasks!$F$5:$F$1000,"&lt;"&amp;$B$3)</f>
        <v>3</v>
      </c>
    </row>
    <row r="25" spans="1:2" x14ac:dyDescent="0.25">
      <c r="A25" s="6" t="str">
        <f>"Open tasks due in the next "&amp;$B$4&amp;" days"</f>
        <v>Open tasks due in the next 14 days</v>
      </c>
      <c r="B25" s="11">
        <f>COUNTIFS(Tasks!$A$5:$A$1000,"&lt;&gt;",Tasks!$D$5:$D$1000,"&lt;&gt;Done",Tasks!$F$5:$F$1000,"&gt;="&amp;$B$3,Tasks!$F$5:$F$1000,"&lt;="&amp;($B$3+$B$4))</f>
        <v>5</v>
      </c>
    </row>
    <row r="26" spans="1:2" x14ac:dyDescent="0.25">
      <c r="A26" s="6" t="s">
        <v>66</v>
      </c>
      <c r="B26" s="11">
        <f>MAX(0,MAX(Tasks!$H$5:$H$1000))</f>
        <v>12</v>
      </c>
    </row>
    <row r="27" spans="1:2" x14ac:dyDescent="0.25">
      <c r="A27" s="6" t="str">
        <f>"Tasks completed in the last "&amp;$B$4&amp;" days"</f>
        <v>Tasks completed in the last 14 days</v>
      </c>
      <c r="B27" s="11">
        <f>COUNTIFS(Tasks!$A$5:$A$1000,"&lt;&gt;",Tasks!$D$5:$D$1000,"Done",Tasks!$G$5:$G$1000,"&gt;="&amp;($B$3-$B$4),Tasks!$G$5:$G$1000,"&lt;="&amp;$B$3)</f>
        <v>0</v>
      </c>
    </row>
    <row r="28" spans="1:2" x14ac:dyDescent="0.25">
      <c r="A28" s="6" t="s">
        <v>67</v>
      </c>
      <c r="B28" s="11">
        <f>COUNTIFS(Projects!$A$5:$A$1000,"&lt;&gt;",Projects!$H$5:$H$1000,"&lt;&gt;Completed",Projects!$H$5:$H$1000,"&lt;&gt;Cancelled")</f>
        <v>5</v>
      </c>
    </row>
    <row r="29" spans="1:2" x14ac:dyDescent="0.25">
      <c r="A29" s="6" t="s">
        <v>68</v>
      </c>
      <c r="B29" s="11">
        <f>COUNTIFS(Projects!$A$5:$A$1000,"&lt;&gt;",Projects!$H$5:$H$1000,"&lt;&gt;Completed",Projects!$H$5:$H$1000,"&lt;&gt;Cancelled",Projects!$F$5:$F$1000,"&lt;"&amp;$B$3)</f>
        <v>0</v>
      </c>
    </row>
    <row r="30" spans="1:2" x14ac:dyDescent="0.25">
      <c r="A30" s="6" t="str">
        <f>"Project deadlines in the next "&amp;$B$4&amp;" days"</f>
        <v>Project deadlines in the next 14 days</v>
      </c>
      <c r="B30" s="11">
        <f>COUNTIFS(Projects!$A$5:$A$1000,"&lt;&gt;",Projects!$H$5:$H$1000,"&lt;&gt;Completed",Projects!$H$5:$H$1000,"&lt;&gt;Cancelled",Projects!$F$5:$F$1000,"&gt;="&amp;$B$3,Projects!$F$5:$F$1000,"&lt;="&amp;($B$3+$B$4))</f>
        <v>2</v>
      </c>
    </row>
    <row r="31" spans="1:2" x14ac:dyDescent="0.25">
      <c r="A31" s="6" t="s">
        <v>69</v>
      </c>
      <c r="B31" s="13">
        <f>SUMIFS(Projects!$G$5:$G$1000,Projects!$A$5:$A$1000,"&lt;&gt;",Projects!$H$5:$H$1000,"&lt;&gt;Completed",Projects!$H$5:$H$1000,"&lt;&gt;Cancelled")</f>
        <v>14650</v>
      </c>
    </row>
    <row r="32" spans="1:2" x14ac:dyDescent="0.25">
      <c r="A32" s="6" t="s">
        <v>70</v>
      </c>
      <c r="B32" s="12">
        <f>IF(B28=0,0,SUMIFS(Projects!$J$5:$J$1000,Projects!$A$5:$A$1000,"&lt;&gt;",Projects!$H$5:$H$1000,"&lt;&gt;Completed",Projects!$H$5:$H$1000,"&lt;&gt;Cancelled")/B28)</f>
        <v>0.23</v>
      </c>
    </row>
  </sheetData>
  <conditionalFormatting sqref="B24 B29">
    <cfRule type="cellIs" dxfId="0" priority="1" operator="greaterThan">
      <formula>0</formula>
    </cfRule>
  </conditionalFormatting>
  <conditionalFormatting sqref="B25 B30">
    <cfRule type="cellIs" dxfId="1" priority="2" operator="greaterThan">
      <formula>0</formula>
    </cfRule>
  </conditionalFormatting>
  <conditionalFormatting sqref="B10">
    <cfRule type="cellIs" dxfId="2" priority="3" operator="greaterThan">
      <formula>0</formula>
    </cfRule>
  </conditionalFormatting>
  <dataValidations count="1">
    <dataValidation type="whole" showErrorMessage="1" errorTitle="Window" error="Enter a whole number of days from 1 to 365." sqref="B4">
      <formula1>1</formula1>
      <formula2>365</formula2>
    </dataValidation>
  </dataValidation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4" width="32" customWidth="1"/>
    <col min="5" max="5" width="40" customWidth="1"/>
  </cols>
  <sheetData>
    <row r="1" ht="24" customHeight="1" spans="1:1" x14ac:dyDescent="0.25">
      <c r="A1" s="14" t="s">
        <v>71</v>
      </c>
    </row>
    <row r="2" spans="1:1" x14ac:dyDescent="0.25">
      <c r="A2" s="15" t="s">
        <v>72</v>
      </c>
    </row>
    <row r="4" spans="1:5" x14ac:dyDescent="0.25">
      <c r="A4" t="s">
        <v>73</v>
      </c>
      <c r="B4" t="s">
        <v>74</v>
      </c>
      <c r="C4" t="s">
        <v>75</v>
      </c>
      <c r="D4" t="s">
        <v>76</v>
      </c>
      <c r="E4" t="s">
        <v>77</v>
      </c>
    </row>
    <row r="5" spans="1:5" x14ac:dyDescent="0.25">
      <c r="A5" t="s">
        <v>78</v>
      </c>
      <c r="B5" t="s">
        <v>79</v>
      </c>
      <c r="C5" t="s">
        <v>80</v>
      </c>
      <c r="D5" t="s">
        <v>81</v>
      </c>
      <c r="E5" t="s">
        <v>82</v>
      </c>
    </row>
    <row r="6" spans="1:5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</row>
    <row r="7" spans="1: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</row>
    <row r="8" spans="1:5" x14ac:dyDescent="0.25">
      <c r="A8" t="s">
        <v>93</v>
      </c>
      <c r="B8" t="s">
        <v>94</v>
      </c>
      <c r="C8" t="s">
        <v>95</v>
      </c>
      <c r="D8" t="s">
        <v>96</v>
      </c>
      <c r="E8" t="s">
        <v>97</v>
      </c>
    </row>
    <row r="9" spans="1:5" x14ac:dyDescent="0.25">
      <c r="A9" t="s">
        <v>98</v>
      </c>
      <c r="B9" t="s">
        <v>99</v>
      </c>
      <c r="C9" t="s">
        <v>100</v>
      </c>
      <c r="D9" t="s">
        <v>101</v>
      </c>
      <c r="E9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00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1" customWidth="1"/>
    <col min="2" max="2" width="28" customWidth="1"/>
    <col min="3" max="3" width="11" customWidth="1"/>
    <col min="4" max="4" width="34" customWidth="1"/>
    <col min="5" max="6" width="14" style="16" customWidth="1"/>
    <col min="7" max="7" width="13" style="17" customWidth="1"/>
    <col min="8" max="8" width="13" customWidth="1"/>
    <col min="9" max="9" width="11" customWidth="1"/>
    <col min="10" max="11" width="12" customWidth="1"/>
  </cols>
  <sheetData>
    <row r="1" ht="24" customHeight="1" spans="1:7" x14ac:dyDescent="0.25">
      <c r="A1" s="14" t="s">
        <v>39</v>
      </c>
      <c r="E1" s="16"/>
      <c r="F1" s="16"/>
      <c r="G1" s="17"/>
    </row>
    <row r="2" spans="1:7" x14ac:dyDescent="0.25">
      <c r="A2" s="15" t="s">
        <v>103</v>
      </c>
      <c r="E2" s="16"/>
      <c r="F2" s="16"/>
      <c r="G2" s="17"/>
    </row>
    <row r="4" spans="1:11" x14ac:dyDescent="0.25">
      <c r="A4" t="s">
        <v>104</v>
      </c>
      <c r="B4" t="s">
        <v>105</v>
      </c>
      <c r="C4" t="s">
        <v>73</v>
      </c>
      <c r="D4" t="s">
        <v>74</v>
      </c>
      <c r="E4" s="16" t="s">
        <v>106</v>
      </c>
      <c r="F4" s="16" t="s">
        <v>107</v>
      </c>
      <c r="G4" s="17" t="s">
        <v>108</v>
      </c>
      <c r="H4" t="s">
        <v>36</v>
      </c>
      <c r="I4" t="s">
        <v>51</v>
      </c>
      <c r="J4" t="s">
        <v>109</v>
      </c>
      <c r="K4" t="s">
        <v>110</v>
      </c>
    </row>
    <row r="5" spans="1:11" x14ac:dyDescent="0.25">
      <c r="A5" t="s">
        <v>111</v>
      </c>
      <c r="B5" t="s">
        <v>112</v>
      </c>
      <c r="C5" t="s">
        <v>78</v>
      </c>
      <c r="D5" s="18" t="str">
        <f>IF($C5="","",IFERROR(INDEX(Clients!$B$5:$B$1000,MATCH($C5,Clients!$A$5:$A$1000,0)),"Unknown client ID"))</f>
        <v>Maple &amp; Finch Interiors (sample)</v>
      </c>
      <c r="E5" s="16">
        <v>46266</v>
      </c>
      <c r="F5" s="16">
        <v>46336</v>
      </c>
      <c r="G5" s="17">
        <v>4200</v>
      </c>
      <c r="H5" t="s">
        <v>43</v>
      </c>
      <c r="I5" t="s">
        <v>58</v>
      </c>
      <c r="J5" s="12">
        <f>IF($A5="","",IF(COUNTIFS(Tasks!$B$5:$B$1000,$A5,Tasks!$A$5:$A$1000,"&lt;&gt;")=0,0,COUNTIFS(Tasks!$B$5:$B$1000,$A5,Tasks!$A$5:$A$1000,"&lt;&gt;",Tasks!$D$5:$D$1000,"Done")/COUNTIFS(Tasks!$B$5:$B$1000,$A5,Tasks!$A$5:$A$1000,"&lt;&gt;")))</f>
        <v>0.4</v>
      </c>
      <c r="K5" s="11">
        <f>IF(OR($A5="",$F5=""),"",$F5-Overview!$B$3)</f>
        <v>13</v>
      </c>
    </row>
    <row r="6" spans="1:11" x14ac:dyDescent="0.25">
      <c r="A6" t="s">
        <v>113</v>
      </c>
      <c r="B6" t="s">
        <v>114</v>
      </c>
      <c r="C6" t="s">
        <v>83</v>
      </c>
      <c r="D6" s="18" t="str">
        <f>IF($C6="","",IFERROR(INDEX(Clients!$B$5:$B$1000,MATCH($C6,Clients!$A$5:$A$1000,0)),"Unknown client ID"))</f>
        <v>Copperleaf Cafe (sample)</v>
      </c>
      <c r="E6" s="16">
        <v>46280</v>
      </c>
      <c r="F6" s="16">
        <v>46325</v>
      </c>
      <c r="G6" s="17">
        <v>1800</v>
      </c>
      <c r="H6" t="s">
        <v>43</v>
      </c>
      <c r="I6" t="s">
        <v>59</v>
      </c>
      <c r="J6" s="12">
        <f>IF($A6="","",IF(COUNTIFS(Tasks!$B$5:$B$1000,$A6,Tasks!$A$5:$A$1000,"&lt;&gt;")=0,0,COUNTIFS(Tasks!$B$5:$B$1000,$A6,Tasks!$A$5:$A$1000,"&lt;&gt;",Tasks!$D$5:$D$1000,"Done")/COUNTIFS(Tasks!$B$5:$B$1000,$A6,Tasks!$A$5:$A$1000,"&lt;&gt;")))</f>
        <v>0.5</v>
      </c>
      <c r="K6" s="11">
        <f>IF(OR($A6="",$F6=""),"",$F6-Overview!$B$3)</f>
        <v>2</v>
      </c>
    </row>
    <row r="7" spans="1:11" x14ac:dyDescent="0.25">
      <c r="A7" t="s">
        <v>115</v>
      </c>
      <c r="B7" t="s">
        <v>116</v>
      </c>
      <c r="C7" t="s">
        <v>88</v>
      </c>
      <c r="D7" s="18" t="str">
        <f>IF($C7="","",IFERROR(INDEX(Clients!$B$5:$B$1000,MATCH($C7,Clients!$A$5:$A$1000,0)),"Unknown client ID"))</f>
        <v>Fernhill Physio (sample)</v>
      </c>
      <c r="E7" s="16">
        <v>46300</v>
      </c>
      <c r="F7" s="16">
        <v>46371</v>
      </c>
      <c r="G7" s="17">
        <v>6500</v>
      </c>
      <c r="H7" t="s">
        <v>43</v>
      </c>
      <c r="I7" t="s">
        <v>57</v>
      </c>
      <c r="J7" s="12">
        <f>IF($A7="","",IF(COUNTIFS(Tasks!$B$5:$B$1000,$A7,Tasks!$A$5:$A$1000,"&lt;&gt;")=0,0,COUNTIFS(Tasks!$B$5:$B$1000,$A7,Tasks!$A$5:$A$1000,"&lt;&gt;",Tasks!$D$5:$D$1000,"Done")/COUNTIFS(Tasks!$B$5:$B$1000,$A7,Tasks!$A$5:$A$1000,"&lt;&gt;")))</f>
        <v>0.25</v>
      </c>
      <c r="K7" s="11">
        <f>IF(OR($A7="",$F7=""),"",$F7-Overview!$B$3)</f>
        <v>48</v>
      </c>
    </row>
    <row r="8" spans="1:11" x14ac:dyDescent="0.25">
      <c r="A8" t="s">
        <v>117</v>
      </c>
      <c r="B8" t="s">
        <v>118</v>
      </c>
      <c r="C8" t="s">
        <v>78</v>
      </c>
      <c r="D8" s="18" t="str">
        <f>IF($C8="","",IFERROR(INDEX(Clients!$B$5:$B$1000,MATCH($C8,Clients!$A$5:$A$1000,0)),"Unknown client ID"))</f>
        <v>Maple &amp; Finch Interiors (sample)</v>
      </c>
      <c r="E8" s="16">
        <v>46235</v>
      </c>
      <c r="F8" s="16">
        <v>46280</v>
      </c>
      <c r="G8" s="17">
        <v>900</v>
      </c>
      <c r="H8" t="s">
        <v>47</v>
      </c>
      <c r="I8" t="s">
        <v>56</v>
      </c>
      <c r="J8" s="12">
        <f>IF($A8="","",IF(COUNTIFS(Tasks!$B$5:$B$1000,$A8,Tasks!$A$5:$A$1000,"&lt;&gt;")=0,0,COUNTIFS(Tasks!$B$5:$B$1000,$A8,Tasks!$A$5:$A$1000,"&lt;&gt;",Tasks!$D$5:$D$1000,"Done")/COUNTIFS(Tasks!$B$5:$B$1000,$A8,Tasks!$A$5:$A$1000,"&lt;&gt;")))</f>
        <v>0.66666666667</v>
      </c>
      <c r="K8" s="11">
        <f>IF(OR($A8="",$F8=""),"",$F8-Overview!$B$3)</f>
        <v>-43</v>
      </c>
    </row>
    <row r="9" spans="1:11" x14ac:dyDescent="0.25">
      <c r="A9" t="s">
        <v>119</v>
      </c>
      <c r="B9" t="s">
        <v>120</v>
      </c>
      <c r="C9" t="s">
        <v>93</v>
      </c>
      <c r="D9" s="18" t="str">
        <f>IF($C9="","",IFERROR(INDEX(Clients!$B$5:$B$1000,MATCH($C9,Clients!$A$5:$A$1000,0)),"Unknown client ID"))</f>
        <v>Northgate Community Library (sample)</v>
      </c>
      <c r="E9" s="16">
        <v>46315</v>
      </c>
      <c r="F9" s="16">
        <v>46340</v>
      </c>
      <c r="G9" s="17">
        <v>750</v>
      </c>
      <c r="H9" t="s">
        <v>41</v>
      </c>
      <c r="I9" t="s">
        <v>57</v>
      </c>
      <c r="J9" s="12">
        <f>IF($A9="","",IF(COUNTIFS(Tasks!$B$5:$B$1000,$A9,Tasks!$A$5:$A$1000,"&lt;&gt;")=0,0,COUNTIFS(Tasks!$B$5:$B$1000,$A9,Tasks!$A$5:$A$1000,"&lt;&gt;",Tasks!$D$5:$D$1000,"Done")/COUNTIFS(Tasks!$B$5:$B$1000,$A9,Tasks!$A$5:$A$1000,"&lt;&gt;")))</f>
        <v>0</v>
      </c>
      <c r="K9" s="11">
        <f>IF(OR($A9="",$F9=""),"",$F9-Overview!$B$3)</f>
        <v>17</v>
      </c>
    </row>
    <row r="10" spans="1:11" x14ac:dyDescent="0.25">
      <c r="A10" t="s">
        <v>121</v>
      </c>
      <c r="B10" t="s">
        <v>122</v>
      </c>
      <c r="C10" t="s">
        <v>98</v>
      </c>
      <c r="D10" s="18" t="str">
        <f>IF($C10="","",IFERROR(INDEX(Clients!$B$5:$B$1000,MATCH($C10,Clients!$A$5:$A$1000,0)),"Unknown client ID"))</f>
        <v>Brightwater Dental (sample)</v>
      </c>
      <c r="E10" s="16">
        <v>46213</v>
      </c>
      <c r="F10" s="16">
        <v>46264</v>
      </c>
      <c r="G10" s="17">
        <v>1200</v>
      </c>
      <c r="H10" t="s">
        <v>48</v>
      </c>
      <c r="I10" t="s">
        <v>56</v>
      </c>
      <c r="J10" s="12">
        <f>IF($A10="","",IF(COUNTIFS(Tasks!$B$5:$B$1000,$A10,Tasks!$A$5:$A$1000,"&lt;&gt;")=0,0,COUNTIFS(Tasks!$B$5:$B$1000,$A10,Tasks!$A$5:$A$1000,"&lt;&gt;",Tasks!$D$5:$D$1000,"Done")/COUNTIFS(Tasks!$B$5:$B$1000,$A10,Tasks!$A$5:$A$1000,"&lt;&gt;")))</f>
        <v>1</v>
      </c>
      <c r="K10" s="11">
        <f>IF(OR($A10="",$F10=""),"",$F10-Overview!$B$3)</f>
        <v>-59</v>
      </c>
    </row>
    <row r="11" spans="1:11" x14ac:dyDescent="0.25">
      <c r="A11" t="s">
        <v>123</v>
      </c>
      <c r="B11" t="s">
        <v>124</v>
      </c>
      <c r="C11" t="s">
        <v>83</v>
      </c>
      <c r="D11" s="18" t="str">
        <f>IF($C11="","",IFERROR(INDEX(Clients!$B$5:$B$1000,MATCH($C11,Clients!$A$5:$A$1000,0)),"Unknown client ID"))</f>
        <v>Copperleaf Cafe (sample)</v>
      </c>
      <c r="E11" s="16">
        <v>46327</v>
      </c>
      <c r="F11" s="16">
        <v>46361</v>
      </c>
      <c r="G11" s="17">
        <v>1400</v>
      </c>
      <c r="H11" t="s">
        <v>45</v>
      </c>
      <c r="I11" t="s">
        <v>58</v>
      </c>
      <c r="J11" s="12">
        <f>IF($A11="","",IF(COUNTIFS(Tasks!$B$5:$B$1000,$A11,Tasks!$A$5:$A$1000,"&lt;&gt;")=0,0,COUNTIFS(Tasks!$B$5:$B$1000,$A11,Tasks!$A$5:$A$1000,"&lt;&gt;",Tasks!$D$5:$D$1000,"Done")/COUNTIFS(Tasks!$B$5:$B$1000,$A11,Tasks!$A$5:$A$1000,"&lt;&gt;")))</f>
        <v>0</v>
      </c>
      <c r="K11" s="11">
        <f>IF(OR($A11="",$F11=""),"",$F11-Overview!$B$3)</f>
        <v>38</v>
      </c>
    </row>
    <row r="12" spans="4:11" x14ac:dyDescent="0.25">
      <c r="D12" s="18" t="str">
        <f>IF($C12="","",IFERROR(INDEX(Clients!$B$5:$B$1000,MATCH($C12,Clients!$A$5:$A$1000,0)),"Unknown client ID"))</f>
        <v/>
      </c>
      <c r="E12" s="16"/>
      <c r="F12" s="16"/>
      <c r="G12" s="17"/>
      <c r="J12" s="12" t="str">
        <f>IF($A12="","",IF(COUNTIFS(Tasks!$B$5:$B$1000,$A12,Tasks!$A$5:$A$1000,"&lt;&gt;")=0,0,COUNTIFS(Tasks!$B$5:$B$1000,$A12,Tasks!$A$5:$A$1000,"&lt;&gt;",Tasks!$D$5:$D$1000,"Done")/COUNTIFS(Tasks!$B$5:$B$1000,$A12,Tasks!$A$5:$A$1000,"&lt;&gt;")))</f>
        <v/>
      </c>
      <c r="K12" s="11" t="str">
        <f>IF(OR($A12="",$F12=""),"",$F12-Overview!$B$3)</f>
        <v/>
      </c>
    </row>
    <row r="13" spans="4:11" x14ac:dyDescent="0.25">
      <c r="D13" s="18" t="str">
        <f>IF($C13="","",IFERROR(INDEX(Clients!$B$5:$B$1000,MATCH($C13,Clients!$A$5:$A$1000,0)),"Unknown client ID"))</f>
        <v/>
      </c>
      <c r="E13" s="16"/>
      <c r="F13" s="16"/>
      <c r="G13" s="17"/>
      <c r="J13" s="12" t="str">
        <f>IF($A13="","",IF(COUNTIFS(Tasks!$B$5:$B$1000,$A13,Tasks!$A$5:$A$1000,"&lt;&gt;")=0,0,COUNTIFS(Tasks!$B$5:$B$1000,$A13,Tasks!$A$5:$A$1000,"&lt;&gt;",Tasks!$D$5:$D$1000,"Done")/COUNTIFS(Tasks!$B$5:$B$1000,$A13,Tasks!$A$5:$A$1000,"&lt;&gt;")))</f>
        <v/>
      </c>
      <c r="K13" s="11" t="str">
        <f>IF(OR($A13="",$F13=""),"",$F13-Overview!$B$3)</f>
        <v/>
      </c>
    </row>
    <row r="14" spans="4:11" x14ac:dyDescent="0.25">
      <c r="D14" s="18" t="str">
        <f>IF($C14="","",IFERROR(INDEX(Clients!$B$5:$B$1000,MATCH($C14,Clients!$A$5:$A$1000,0)),"Unknown client ID"))</f>
        <v/>
      </c>
      <c r="E14" s="16"/>
      <c r="F14" s="16"/>
      <c r="G14" s="17"/>
      <c r="J14" s="12" t="str">
        <f>IF($A14="","",IF(COUNTIFS(Tasks!$B$5:$B$1000,$A14,Tasks!$A$5:$A$1000,"&lt;&gt;")=0,0,COUNTIFS(Tasks!$B$5:$B$1000,$A14,Tasks!$A$5:$A$1000,"&lt;&gt;",Tasks!$D$5:$D$1000,"Done")/COUNTIFS(Tasks!$B$5:$B$1000,$A14,Tasks!$A$5:$A$1000,"&lt;&gt;")))</f>
        <v/>
      </c>
      <c r="K14" s="11" t="str">
        <f>IF(OR($A14="",$F14=""),"",$F14-Overview!$B$3)</f>
        <v/>
      </c>
    </row>
    <row r="15" spans="4:11" x14ac:dyDescent="0.25">
      <c r="D15" s="18" t="str">
        <f>IF($C15="","",IFERROR(INDEX(Clients!$B$5:$B$1000,MATCH($C15,Clients!$A$5:$A$1000,0)),"Unknown client ID"))</f>
        <v/>
      </c>
      <c r="E15" s="16"/>
      <c r="F15" s="16"/>
      <c r="G15" s="17"/>
      <c r="J15" s="12" t="str">
        <f>IF($A15="","",IF(COUNTIFS(Tasks!$B$5:$B$1000,$A15,Tasks!$A$5:$A$1000,"&lt;&gt;")=0,0,COUNTIFS(Tasks!$B$5:$B$1000,$A15,Tasks!$A$5:$A$1000,"&lt;&gt;",Tasks!$D$5:$D$1000,"Done")/COUNTIFS(Tasks!$B$5:$B$1000,$A15,Tasks!$A$5:$A$1000,"&lt;&gt;")))</f>
        <v/>
      </c>
      <c r="K15" s="11" t="str">
        <f>IF(OR($A15="",$F15=""),"",$F15-Overview!$B$3)</f>
        <v/>
      </c>
    </row>
    <row r="16" spans="4:11" x14ac:dyDescent="0.25">
      <c r="D16" s="18" t="str">
        <f>IF($C16="","",IFERROR(INDEX(Clients!$B$5:$B$1000,MATCH($C16,Clients!$A$5:$A$1000,0)),"Unknown client ID"))</f>
        <v/>
      </c>
      <c r="E16" s="16"/>
      <c r="F16" s="16"/>
      <c r="G16" s="17"/>
      <c r="J16" s="12" t="str">
        <f>IF($A16="","",IF(COUNTIFS(Tasks!$B$5:$B$1000,$A16,Tasks!$A$5:$A$1000,"&lt;&gt;")=0,0,COUNTIFS(Tasks!$B$5:$B$1000,$A16,Tasks!$A$5:$A$1000,"&lt;&gt;",Tasks!$D$5:$D$1000,"Done")/COUNTIFS(Tasks!$B$5:$B$1000,$A16,Tasks!$A$5:$A$1000,"&lt;&gt;")))</f>
        <v/>
      </c>
      <c r="K16" s="11" t="str">
        <f>IF(OR($A16="",$F16=""),"",$F16-Overview!$B$3)</f>
        <v/>
      </c>
    </row>
    <row r="17" spans="4:11" x14ac:dyDescent="0.25">
      <c r="D17" s="18" t="str">
        <f>IF($C17="","",IFERROR(INDEX(Clients!$B$5:$B$1000,MATCH($C17,Clients!$A$5:$A$1000,0)),"Unknown client ID"))</f>
        <v/>
      </c>
      <c r="E17" s="16"/>
      <c r="F17" s="16"/>
      <c r="G17" s="17"/>
      <c r="J17" s="12" t="str">
        <f>IF($A17="","",IF(COUNTIFS(Tasks!$B$5:$B$1000,$A17,Tasks!$A$5:$A$1000,"&lt;&gt;")=0,0,COUNTIFS(Tasks!$B$5:$B$1000,$A17,Tasks!$A$5:$A$1000,"&lt;&gt;",Tasks!$D$5:$D$1000,"Done")/COUNTIFS(Tasks!$B$5:$B$1000,$A17,Tasks!$A$5:$A$1000,"&lt;&gt;")))</f>
        <v/>
      </c>
      <c r="K17" s="11" t="str">
        <f>IF(OR($A17="",$F17=""),"",$F17-Overview!$B$3)</f>
        <v/>
      </c>
    </row>
    <row r="18" spans="4:11" x14ac:dyDescent="0.25">
      <c r="D18" s="18" t="str">
        <f>IF($C18="","",IFERROR(INDEX(Clients!$B$5:$B$1000,MATCH($C18,Clients!$A$5:$A$1000,0)),"Unknown client ID"))</f>
        <v/>
      </c>
      <c r="E18" s="16"/>
      <c r="F18" s="16"/>
      <c r="G18" s="17"/>
      <c r="J18" s="12" t="str">
        <f>IF($A18="","",IF(COUNTIFS(Tasks!$B$5:$B$1000,$A18,Tasks!$A$5:$A$1000,"&lt;&gt;")=0,0,COUNTIFS(Tasks!$B$5:$B$1000,$A18,Tasks!$A$5:$A$1000,"&lt;&gt;",Tasks!$D$5:$D$1000,"Done")/COUNTIFS(Tasks!$B$5:$B$1000,$A18,Tasks!$A$5:$A$1000,"&lt;&gt;")))</f>
        <v/>
      </c>
      <c r="K18" s="11" t="str">
        <f>IF(OR($A18="",$F18=""),"",$F18-Overview!$B$3)</f>
        <v/>
      </c>
    </row>
    <row r="19" spans="4:11" x14ac:dyDescent="0.25">
      <c r="D19" s="18" t="str">
        <f>IF($C19="","",IFERROR(INDEX(Clients!$B$5:$B$1000,MATCH($C19,Clients!$A$5:$A$1000,0)),"Unknown client ID"))</f>
        <v/>
      </c>
      <c r="E19" s="16"/>
      <c r="F19" s="16"/>
      <c r="G19" s="17"/>
      <c r="J19" s="12" t="str">
        <f>IF($A19="","",IF(COUNTIFS(Tasks!$B$5:$B$1000,$A19,Tasks!$A$5:$A$1000,"&lt;&gt;")=0,0,COUNTIFS(Tasks!$B$5:$B$1000,$A19,Tasks!$A$5:$A$1000,"&lt;&gt;",Tasks!$D$5:$D$1000,"Done")/COUNTIFS(Tasks!$B$5:$B$1000,$A19,Tasks!$A$5:$A$1000,"&lt;&gt;")))</f>
        <v/>
      </c>
      <c r="K19" s="11" t="str">
        <f>IF(OR($A19="",$F19=""),"",$F19-Overview!$B$3)</f>
        <v/>
      </c>
    </row>
    <row r="20" spans="4:11" x14ac:dyDescent="0.25">
      <c r="D20" s="18" t="str">
        <f>IF($C20="","",IFERROR(INDEX(Clients!$B$5:$B$1000,MATCH($C20,Clients!$A$5:$A$1000,0)),"Unknown client ID"))</f>
        <v/>
      </c>
      <c r="E20" s="16"/>
      <c r="F20" s="16"/>
      <c r="G20" s="17"/>
      <c r="J20" s="12" t="str">
        <f>IF($A20="","",IF(COUNTIFS(Tasks!$B$5:$B$1000,$A20,Tasks!$A$5:$A$1000,"&lt;&gt;")=0,0,COUNTIFS(Tasks!$B$5:$B$1000,$A20,Tasks!$A$5:$A$1000,"&lt;&gt;",Tasks!$D$5:$D$1000,"Done")/COUNTIFS(Tasks!$B$5:$B$1000,$A20,Tasks!$A$5:$A$1000,"&lt;&gt;")))</f>
        <v/>
      </c>
      <c r="K20" s="11" t="str">
        <f>IF(OR($A20="",$F20=""),"",$F20-Overview!$B$3)</f>
        <v/>
      </c>
    </row>
    <row r="21" spans="4:11" x14ac:dyDescent="0.25">
      <c r="D21" s="18" t="str">
        <f>IF($C21="","",IFERROR(INDEX(Clients!$B$5:$B$1000,MATCH($C21,Clients!$A$5:$A$1000,0)),"Unknown client ID"))</f>
        <v/>
      </c>
      <c r="E21" s="16"/>
      <c r="F21" s="16"/>
      <c r="G21" s="17"/>
      <c r="J21" s="12" t="str">
        <f>IF($A21="","",IF(COUNTIFS(Tasks!$B$5:$B$1000,$A21,Tasks!$A$5:$A$1000,"&lt;&gt;")=0,0,COUNTIFS(Tasks!$B$5:$B$1000,$A21,Tasks!$A$5:$A$1000,"&lt;&gt;",Tasks!$D$5:$D$1000,"Done")/COUNTIFS(Tasks!$B$5:$B$1000,$A21,Tasks!$A$5:$A$1000,"&lt;&gt;")))</f>
        <v/>
      </c>
      <c r="K21" s="11" t="str">
        <f>IF(OR($A21="",$F21=""),"",$F21-Overview!$B$3)</f>
        <v/>
      </c>
    </row>
    <row r="22" spans="4:11" x14ac:dyDescent="0.25">
      <c r="D22" s="18" t="str">
        <f>IF($C22="","",IFERROR(INDEX(Clients!$B$5:$B$1000,MATCH($C22,Clients!$A$5:$A$1000,0)),"Unknown client ID"))</f>
        <v/>
      </c>
      <c r="E22" s="16"/>
      <c r="F22" s="16"/>
      <c r="G22" s="17"/>
      <c r="J22" s="12" t="str">
        <f>IF($A22="","",IF(COUNTIFS(Tasks!$B$5:$B$1000,$A22,Tasks!$A$5:$A$1000,"&lt;&gt;")=0,0,COUNTIFS(Tasks!$B$5:$B$1000,$A22,Tasks!$A$5:$A$1000,"&lt;&gt;",Tasks!$D$5:$D$1000,"Done")/COUNTIFS(Tasks!$B$5:$B$1000,$A22,Tasks!$A$5:$A$1000,"&lt;&gt;")))</f>
        <v/>
      </c>
      <c r="K22" s="11" t="str">
        <f>IF(OR($A22="",$F22=""),"",$F22-Overview!$B$3)</f>
        <v/>
      </c>
    </row>
    <row r="23" spans="4:11" x14ac:dyDescent="0.25">
      <c r="D23" s="18" t="str">
        <f>IF($C23="","",IFERROR(INDEX(Clients!$B$5:$B$1000,MATCH($C23,Clients!$A$5:$A$1000,0)),"Unknown client ID"))</f>
        <v/>
      </c>
      <c r="E23" s="16"/>
      <c r="F23" s="16"/>
      <c r="G23" s="17"/>
      <c r="J23" s="12" t="str">
        <f>IF($A23="","",IF(COUNTIFS(Tasks!$B$5:$B$1000,$A23,Tasks!$A$5:$A$1000,"&lt;&gt;")=0,0,COUNTIFS(Tasks!$B$5:$B$1000,$A23,Tasks!$A$5:$A$1000,"&lt;&gt;",Tasks!$D$5:$D$1000,"Done")/COUNTIFS(Tasks!$B$5:$B$1000,$A23,Tasks!$A$5:$A$1000,"&lt;&gt;")))</f>
        <v/>
      </c>
      <c r="K23" s="11" t="str">
        <f>IF(OR($A23="",$F23=""),"",$F23-Overview!$B$3)</f>
        <v/>
      </c>
    </row>
    <row r="24" spans="4:11" x14ac:dyDescent="0.25">
      <c r="D24" s="18" t="str">
        <f>IF($C24="","",IFERROR(INDEX(Clients!$B$5:$B$1000,MATCH($C24,Clients!$A$5:$A$1000,0)),"Unknown client ID"))</f>
        <v/>
      </c>
      <c r="E24" s="16"/>
      <c r="F24" s="16"/>
      <c r="G24" s="17"/>
      <c r="J24" s="12" t="str">
        <f>IF($A24="","",IF(COUNTIFS(Tasks!$B$5:$B$1000,$A24,Tasks!$A$5:$A$1000,"&lt;&gt;")=0,0,COUNTIFS(Tasks!$B$5:$B$1000,$A24,Tasks!$A$5:$A$1000,"&lt;&gt;",Tasks!$D$5:$D$1000,"Done")/COUNTIFS(Tasks!$B$5:$B$1000,$A24,Tasks!$A$5:$A$1000,"&lt;&gt;")))</f>
        <v/>
      </c>
      <c r="K24" s="11" t="str">
        <f>IF(OR($A24="",$F24=""),"",$F24-Overview!$B$3)</f>
        <v/>
      </c>
    </row>
    <row r="25" spans="4:11" x14ac:dyDescent="0.25">
      <c r="D25" s="18" t="str">
        <f>IF($C25="","",IFERROR(INDEX(Clients!$B$5:$B$1000,MATCH($C25,Clients!$A$5:$A$1000,0)),"Unknown client ID"))</f>
        <v/>
      </c>
      <c r="E25" s="16"/>
      <c r="F25" s="16"/>
      <c r="G25" s="17"/>
      <c r="J25" s="12" t="str">
        <f>IF($A25="","",IF(COUNTIFS(Tasks!$B$5:$B$1000,$A25,Tasks!$A$5:$A$1000,"&lt;&gt;")=0,0,COUNTIFS(Tasks!$B$5:$B$1000,$A25,Tasks!$A$5:$A$1000,"&lt;&gt;",Tasks!$D$5:$D$1000,"Done")/COUNTIFS(Tasks!$B$5:$B$1000,$A25,Tasks!$A$5:$A$1000,"&lt;&gt;")))</f>
        <v/>
      </c>
      <c r="K25" s="11" t="str">
        <f>IF(OR($A25="",$F25=""),"",$F25-Overview!$B$3)</f>
        <v/>
      </c>
    </row>
    <row r="26" spans="4:11" x14ac:dyDescent="0.25">
      <c r="D26" s="18" t="str">
        <f>IF($C26="","",IFERROR(INDEX(Clients!$B$5:$B$1000,MATCH($C26,Clients!$A$5:$A$1000,0)),"Unknown client ID"))</f>
        <v/>
      </c>
      <c r="E26" s="16"/>
      <c r="F26" s="16"/>
      <c r="G26" s="17"/>
      <c r="J26" s="12" t="str">
        <f>IF($A26="","",IF(COUNTIFS(Tasks!$B$5:$B$1000,$A26,Tasks!$A$5:$A$1000,"&lt;&gt;")=0,0,COUNTIFS(Tasks!$B$5:$B$1000,$A26,Tasks!$A$5:$A$1000,"&lt;&gt;",Tasks!$D$5:$D$1000,"Done")/COUNTIFS(Tasks!$B$5:$B$1000,$A26,Tasks!$A$5:$A$1000,"&lt;&gt;")))</f>
        <v/>
      </c>
      <c r="K26" s="11" t="str">
        <f>IF(OR($A26="",$F26=""),"",$F26-Overview!$B$3)</f>
        <v/>
      </c>
    </row>
    <row r="27" spans="4:11" x14ac:dyDescent="0.25">
      <c r="D27" s="18" t="str">
        <f>IF($C27="","",IFERROR(INDEX(Clients!$B$5:$B$1000,MATCH($C27,Clients!$A$5:$A$1000,0)),"Unknown client ID"))</f>
        <v/>
      </c>
      <c r="E27" s="16"/>
      <c r="F27" s="16"/>
      <c r="G27" s="17"/>
      <c r="J27" s="12" t="str">
        <f>IF($A27="","",IF(COUNTIFS(Tasks!$B$5:$B$1000,$A27,Tasks!$A$5:$A$1000,"&lt;&gt;")=0,0,COUNTIFS(Tasks!$B$5:$B$1000,$A27,Tasks!$A$5:$A$1000,"&lt;&gt;",Tasks!$D$5:$D$1000,"Done")/COUNTIFS(Tasks!$B$5:$B$1000,$A27,Tasks!$A$5:$A$1000,"&lt;&gt;")))</f>
        <v/>
      </c>
      <c r="K27" s="11" t="str">
        <f>IF(OR($A27="",$F27=""),"",$F27-Overview!$B$3)</f>
        <v/>
      </c>
    </row>
    <row r="28" spans="4:11" x14ac:dyDescent="0.25">
      <c r="D28" s="18" t="str">
        <f>IF($C28="","",IFERROR(INDEX(Clients!$B$5:$B$1000,MATCH($C28,Clients!$A$5:$A$1000,0)),"Unknown client ID"))</f>
        <v/>
      </c>
      <c r="E28" s="16"/>
      <c r="F28" s="16"/>
      <c r="G28" s="17"/>
      <c r="J28" s="12" t="str">
        <f>IF($A28="","",IF(COUNTIFS(Tasks!$B$5:$B$1000,$A28,Tasks!$A$5:$A$1000,"&lt;&gt;")=0,0,COUNTIFS(Tasks!$B$5:$B$1000,$A28,Tasks!$A$5:$A$1000,"&lt;&gt;",Tasks!$D$5:$D$1000,"Done")/COUNTIFS(Tasks!$B$5:$B$1000,$A28,Tasks!$A$5:$A$1000,"&lt;&gt;")))</f>
        <v/>
      </c>
      <c r="K28" s="11" t="str">
        <f>IF(OR($A28="",$F28=""),"",$F28-Overview!$B$3)</f>
        <v/>
      </c>
    </row>
    <row r="29" spans="4:11" x14ac:dyDescent="0.25">
      <c r="D29" s="18" t="str">
        <f>IF($C29="","",IFERROR(INDEX(Clients!$B$5:$B$1000,MATCH($C29,Clients!$A$5:$A$1000,0)),"Unknown client ID"))</f>
        <v/>
      </c>
      <c r="E29" s="16"/>
      <c r="F29" s="16"/>
      <c r="G29" s="17"/>
      <c r="J29" s="12" t="str">
        <f>IF($A29="","",IF(COUNTIFS(Tasks!$B$5:$B$1000,$A29,Tasks!$A$5:$A$1000,"&lt;&gt;")=0,0,COUNTIFS(Tasks!$B$5:$B$1000,$A29,Tasks!$A$5:$A$1000,"&lt;&gt;",Tasks!$D$5:$D$1000,"Done")/COUNTIFS(Tasks!$B$5:$B$1000,$A29,Tasks!$A$5:$A$1000,"&lt;&gt;")))</f>
        <v/>
      </c>
      <c r="K29" s="11" t="str">
        <f>IF(OR($A29="",$F29=""),"",$F29-Overview!$B$3)</f>
        <v/>
      </c>
    </row>
    <row r="30" spans="4:11" x14ac:dyDescent="0.25">
      <c r="D30" s="18" t="str">
        <f>IF($C30="","",IFERROR(INDEX(Clients!$B$5:$B$1000,MATCH($C30,Clients!$A$5:$A$1000,0)),"Unknown client ID"))</f>
        <v/>
      </c>
      <c r="E30" s="16"/>
      <c r="F30" s="16"/>
      <c r="G30" s="17"/>
      <c r="J30" s="12" t="str">
        <f>IF($A30="","",IF(COUNTIFS(Tasks!$B$5:$B$1000,$A30,Tasks!$A$5:$A$1000,"&lt;&gt;")=0,0,COUNTIFS(Tasks!$B$5:$B$1000,$A30,Tasks!$A$5:$A$1000,"&lt;&gt;",Tasks!$D$5:$D$1000,"Done")/COUNTIFS(Tasks!$B$5:$B$1000,$A30,Tasks!$A$5:$A$1000,"&lt;&gt;")))</f>
        <v/>
      </c>
      <c r="K30" s="11" t="str">
        <f>IF(OR($A30="",$F30=""),"",$F30-Overview!$B$3)</f>
        <v/>
      </c>
    </row>
    <row r="31" spans="4:11" x14ac:dyDescent="0.25">
      <c r="D31" s="18" t="str">
        <f>IF($C31="","",IFERROR(INDEX(Clients!$B$5:$B$1000,MATCH($C31,Clients!$A$5:$A$1000,0)),"Unknown client ID"))</f>
        <v/>
      </c>
      <c r="E31" s="16"/>
      <c r="F31" s="16"/>
      <c r="G31" s="17"/>
      <c r="J31" s="12" t="str">
        <f>IF($A31="","",IF(COUNTIFS(Tasks!$B$5:$B$1000,$A31,Tasks!$A$5:$A$1000,"&lt;&gt;")=0,0,COUNTIFS(Tasks!$B$5:$B$1000,$A31,Tasks!$A$5:$A$1000,"&lt;&gt;",Tasks!$D$5:$D$1000,"Done")/COUNTIFS(Tasks!$B$5:$B$1000,$A31,Tasks!$A$5:$A$1000,"&lt;&gt;")))</f>
        <v/>
      </c>
      <c r="K31" s="11" t="str">
        <f>IF(OR($A31="",$F31=""),"",$F31-Overview!$B$3)</f>
        <v/>
      </c>
    </row>
    <row r="32" spans="4:11" x14ac:dyDescent="0.25">
      <c r="D32" s="18" t="str">
        <f>IF($C32="","",IFERROR(INDEX(Clients!$B$5:$B$1000,MATCH($C32,Clients!$A$5:$A$1000,0)),"Unknown client ID"))</f>
        <v/>
      </c>
      <c r="E32" s="16"/>
      <c r="F32" s="16"/>
      <c r="G32" s="17"/>
      <c r="J32" s="12" t="str">
        <f>IF($A32="","",IF(COUNTIFS(Tasks!$B$5:$B$1000,$A32,Tasks!$A$5:$A$1000,"&lt;&gt;")=0,0,COUNTIFS(Tasks!$B$5:$B$1000,$A32,Tasks!$A$5:$A$1000,"&lt;&gt;",Tasks!$D$5:$D$1000,"Done")/COUNTIFS(Tasks!$B$5:$B$1000,$A32,Tasks!$A$5:$A$1000,"&lt;&gt;")))</f>
        <v/>
      </c>
      <c r="K32" s="11" t="str">
        <f>IF(OR($A32="",$F32=""),"",$F32-Overview!$B$3)</f>
        <v/>
      </c>
    </row>
    <row r="33" spans="4:11" x14ac:dyDescent="0.25">
      <c r="D33" s="18" t="str">
        <f>IF($C33="","",IFERROR(INDEX(Clients!$B$5:$B$1000,MATCH($C33,Clients!$A$5:$A$1000,0)),"Unknown client ID"))</f>
        <v/>
      </c>
      <c r="E33" s="16"/>
      <c r="F33" s="16"/>
      <c r="G33" s="17"/>
      <c r="J33" s="12" t="str">
        <f>IF($A33="","",IF(COUNTIFS(Tasks!$B$5:$B$1000,$A33,Tasks!$A$5:$A$1000,"&lt;&gt;")=0,0,COUNTIFS(Tasks!$B$5:$B$1000,$A33,Tasks!$A$5:$A$1000,"&lt;&gt;",Tasks!$D$5:$D$1000,"Done")/COUNTIFS(Tasks!$B$5:$B$1000,$A33,Tasks!$A$5:$A$1000,"&lt;&gt;")))</f>
        <v/>
      </c>
      <c r="K33" s="11" t="str">
        <f>IF(OR($A33="",$F33=""),"",$F33-Overview!$B$3)</f>
        <v/>
      </c>
    </row>
    <row r="34" spans="4:11" x14ac:dyDescent="0.25">
      <c r="D34" s="18" t="str">
        <f>IF($C34="","",IFERROR(INDEX(Clients!$B$5:$B$1000,MATCH($C34,Clients!$A$5:$A$1000,0)),"Unknown client ID"))</f>
        <v/>
      </c>
      <c r="E34" s="16"/>
      <c r="F34" s="16"/>
      <c r="G34" s="17"/>
      <c r="J34" s="12" t="str">
        <f>IF($A34="","",IF(COUNTIFS(Tasks!$B$5:$B$1000,$A34,Tasks!$A$5:$A$1000,"&lt;&gt;")=0,0,COUNTIFS(Tasks!$B$5:$B$1000,$A34,Tasks!$A$5:$A$1000,"&lt;&gt;",Tasks!$D$5:$D$1000,"Done")/COUNTIFS(Tasks!$B$5:$B$1000,$A34,Tasks!$A$5:$A$1000,"&lt;&gt;")))</f>
        <v/>
      </c>
      <c r="K34" s="11" t="str">
        <f>IF(OR($A34="",$F34=""),"",$F34-Overview!$B$3)</f>
        <v/>
      </c>
    </row>
    <row r="35" spans="4:11" x14ac:dyDescent="0.25">
      <c r="D35" s="18" t="str">
        <f>IF($C35="","",IFERROR(INDEX(Clients!$B$5:$B$1000,MATCH($C35,Clients!$A$5:$A$1000,0)),"Unknown client ID"))</f>
        <v/>
      </c>
      <c r="E35" s="16"/>
      <c r="F35" s="16"/>
      <c r="G35" s="17"/>
      <c r="J35" s="12" t="str">
        <f>IF($A35="","",IF(COUNTIFS(Tasks!$B$5:$B$1000,$A35,Tasks!$A$5:$A$1000,"&lt;&gt;")=0,0,COUNTIFS(Tasks!$B$5:$B$1000,$A35,Tasks!$A$5:$A$1000,"&lt;&gt;",Tasks!$D$5:$D$1000,"Done")/COUNTIFS(Tasks!$B$5:$B$1000,$A35,Tasks!$A$5:$A$1000,"&lt;&gt;")))</f>
        <v/>
      </c>
      <c r="K35" s="11" t="str">
        <f>IF(OR($A35="",$F35=""),"",$F35-Overview!$B$3)</f>
        <v/>
      </c>
    </row>
    <row r="36" spans="4:11" x14ac:dyDescent="0.25">
      <c r="D36" s="18" t="str">
        <f>IF($C36="","",IFERROR(INDEX(Clients!$B$5:$B$1000,MATCH($C36,Clients!$A$5:$A$1000,0)),"Unknown client ID"))</f>
        <v/>
      </c>
      <c r="E36" s="16"/>
      <c r="F36" s="16"/>
      <c r="G36" s="17"/>
      <c r="J36" s="12" t="str">
        <f>IF($A36="","",IF(COUNTIFS(Tasks!$B$5:$B$1000,$A36,Tasks!$A$5:$A$1000,"&lt;&gt;")=0,0,COUNTIFS(Tasks!$B$5:$B$1000,$A36,Tasks!$A$5:$A$1000,"&lt;&gt;",Tasks!$D$5:$D$1000,"Done")/COUNTIFS(Tasks!$B$5:$B$1000,$A36,Tasks!$A$5:$A$1000,"&lt;&gt;")))</f>
        <v/>
      </c>
      <c r="K36" s="11" t="str">
        <f>IF(OR($A36="",$F36=""),"",$F36-Overview!$B$3)</f>
        <v/>
      </c>
    </row>
    <row r="37" spans="4:11" x14ac:dyDescent="0.25">
      <c r="D37" s="18" t="str">
        <f>IF($C37="","",IFERROR(INDEX(Clients!$B$5:$B$1000,MATCH($C37,Clients!$A$5:$A$1000,0)),"Unknown client ID"))</f>
        <v/>
      </c>
      <c r="E37" s="16"/>
      <c r="F37" s="16"/>
      <c r="G37" s="17"/>
      <c r="J37" s="12" t="str">
        <f>IF($A37="","",IF(COUNTIFS(Tasks!$B$5:$B$1000,$A37,Tasks!$A$5:$A$1000,"&lt;&gt;")=0,0,COUNTIFS(Tasks!$B$5:$B$1000,$A37,Tasks!$A$5:$A$1000,"&lt;&gt;",Tasks!$D$5:$D$1000,"Done")/COUNTIFS(Tasks!$B$5:$B$1000,$A37,Tasks!$A$5:$A$1000,"&lt;&gt;")))</f>
        <v/>
      </c>
      <c r="K37" s="11" t="str">
        <f>IF(OR($A37="",$F37=""),"",$F37-Overview!$B$3)</f>
        <v/>
      </c>
    </row>
    <row r="38" spans="4:11" x14ac:dyDescent="0.25">
      <c r="D38" s="18" t="str">
        <f>IF($C38="","",IFERROR(INDEX(Clients!$B$5:$B$1000,MATCH($C38,Clients!$A$5:$A$1000,0)),"Unknown client ID"))</f>
        <v/>
      </c>
      <c r="E38" s="16"/>
      <c r="F38" s="16"/>
      <c r="G38" s="17"/>
      <c r="J38" s="12" t="str">
        <f>IF($A38="","",IF(COUNTIFS(Tasks!$B$5:$B$1000,$A38,Tasks!$A$5:$A$1000,"&lt;&gt;")=0,0,COUNTIFS(Tasks!$B$5:$B$1000,$A38,Tasks!$A$5:$A$1000,"&lt;&gt;",Tasks!$D$5:$D$1000,"Done")/COUNTIFS(Tasks!$B$5:$B$1000,$A38,Tasks!$A$5:$A$1000,"&lt;&gt;")))</f>
        <v/>
      </c>
      <c r="K38" s="11" t="str">
        <f>IF(OR($A38="",$F38=""),"",$F38-Overview!$B$3)</f>
        <v/>
      </c>
    </row>
    <row r="39" spans="4:11" x14ac:dyDescent="0.25">
      <c r="D39" s="18" t="str">
        <f>IF($C39="","",IFERROR(INDEX(Clients!$B$5:$B$1000,MATCH($C39,Clients!$A$5:$A$1000,0)),"Unknown client ID"))</f>
        <v/>
      </c>
      <c r="E39" s="16"/>
      <c r="F39" s="16"/>
      <c r="G39" s="17"/>
      <c r="J39" s="12" t="str">
        <f>IF($A39="","",IF(COUNTIFS(Tasks!$B$5:$B$1000,$A39,Tasks!$A$5:$A$1000,"&lt;&gt;")=0,0,COUNTIFS(Tasks!$B$5:$B$1000,$A39,Tasks!$A$5:$A$1000,"&lt;&gt;",Tasks!$D$5:$D$1000,"Done")/COUNTIFS(Tasks!$B$5:$B$1000,$A39,Tasks!$A$5:$A$1000,"&lt;&gt;")))</f>
        <v/>
      </c>
      <c r="K39" s="11" t="str">
        <f>IF(OR($A39="",$F39=""),"",$F39-Overview!$B$3)</f>
        <v/>
      </c>
    </row>
    <row r="40" spans="4:11" x14ac:dyDescent="0.25">
      <c r="D40" s="18" t="str">
        <f>IF($C40="","",IFERROR(INDEX(Clients!$B$5:$B$1000,MATCH($C40,Clients!$A$5:$A$1000,0)),"Unknown client ID"))</f>
        <v/>
      </c>
      <c r="E40" s="16"/>
      <c r="F40" s="16"/>
      <c r="G40" s="17"/>
      <c r="J40" s="12" t="str">
        <f>IF($A40="","",IF(COUNTIFS(Tasks!$B$5:$B$1000,$A40,Tasks!$A$5:$A$1000,"&lt;&gt;")=0,0,COUNTIFS(Tasks!$B$5:$B$1000,$A40,Tasks!$A$5:$A$1000,"&lt;&gt;",Tasks!$D$5:$D$1000,"Done")/COUNTIFS(Tasks!$B$5:$B$1000,$A40,Tasks!$A$5:$A$1000,"&lt;&gt;")))</f>
        <v/>
      </c>
      <c r="K40" s="11" t="str">
        <f>IF(OR($A40="",$F40=""),"",$F40-Overview!$B$3)</f>
        <v/>
      </c>
    </row>
    <row r="41" spans="4:11" x14ac:dyDescent="0.25">
      <c r="D41" s="18" t="str">
        <f>IF($C41="","",IFERROR(INDEX(Clients!$B$5:$B$1000,MATCH($C41,Clients!$A$5:$A$1000,0)),"Unknown client ID"))</f>
        <v/>
      </c>
      <c r="E41" s="16"/>
      <c r="F41" s="16"/>
      <c r="G41" s="17"/>
      <c r="J41" s="12" t="str">
        <f>IF($A41="","",IF(COUNTIFS(Tasks!$B$5:$B$1000,$A41,Tasks!$A$5:$A$1000,"&lt;&gt;")=0,0,COUNTIFS(Tasks!$B$5:$B$1000,$A41,Tasks!$A$5:$A$1000,"&lt;&gt;",Tasks!$D$5:$D$1000,"Done")/COUNTIFS(Tasks!$B$5:$B$1000,$A41,Tasks!$A$5:$A$1000,"&lt;&gt;")))</f>
        <v/>
      </c>
      <c r="K41" s="11" t="str">
        <f>IF(OR($A41="",$F41=""),"",$F41-Overview!$B$3)</f>
        <v/>
      </c>
    </row>
    <row r="42" spans="4:11" x14ac:dyDescent="0.25">
      <c r="D42" s="18" t="str">
        <f>IF($C42="","",IFERROR(INDEX(Clients!$B$5:$B$1000,MATCH($C42,Clients!$A$5:$A$1000,0)),"Unknown client ID"))</f>
        <v/>
      </c>
      <c r="E42" s="16"/>
      <c r="F42" s="16"/>
      <c r="G42" s="17"/>
      <c r="J42" s="12" t="str">
        <f>IF($A42="","",IF(COUNTIFS(Tasks!$B$5:$B$1000,$A42,Tasks!$A$5:$A$1000,"&lt;&gt;")=0,0,COUNTIFS(Tasks!$B$5:$B$1000,$A42,Tasks!$A$5:$A$1000,"&lt;&gt;",Tasks!$D$5:$D$1000,"Done")/COUNTIFS(Tasks!$B$5:$B$1000,$A42,Tasks!$A$5:$A$1000,"&lt;&gt;")))</f>
        <v/>
      </c>
      <c r="K42" s="11" t="str">
        <f>IF(OR($A42="",$F42=""),"",$F42-Overview!$B$3)</f>
        <v/>
      </c>
    </row>
    <row r="43" spans="4:11" x14ac:dyDescent="0.25">
      <c r="D43" s="18" t="str">
        <f>IF($C43="","",IFERROR(INDEX(Clients!$B$5:$B$1000,MATCH($C43,Clients!$A$5:$A$1000,0)),"Unknown client ID"))</f>
        <v/>
      </c>
      <c r="E43" s="16"/>
      <c r="F43" s="16"/>
      <c r="G43" s="17"/>
      <c r="J43" s="12" t="str">
        <f>IF($A43="","",IF(COUNTIFS(Tasks!$B$5:$B$1000,$A43,Tasks!$A$5:$A$1000,"&lt;&gt;")=0,0,COUNTIFS(Tasks!$B$5:$B$1000,$A43,Tasks!$A$5:$A$1000,"&lt;&gt;",Tasks!$D$5:$D$1000,"Done")/COUNTIFS(Tasks!$B$5:$B$1000,$A43,Tasks!$A$5:$A$1000,"&lt;&gt;")))</f>
        <v/>
      </c>
      <c r="K43" s="11" t="str">
        <f>IF(OR($A43="",$F43=""),"",$F43-Overview!$B$3)</f>
        <v/>
      </c>
    </row>
    <row r="44" spans="4:11" x14ac:dyDescent="0.25">
      <c r="D44" s="18" t="str">
        <f>IF($C44="","",IFERROR(INDEX(Clients!$B$5:$B$1000,MATCH($C44,Clients!$A$5:$A$1000,0)),"Unknown client ID"))</f>
        <v/>
      </c>
      <c r="E44" s="16"/>
      <c r="F44" s="16"/>
      <c r="G44" s="17"/>
      <c r="J44" s="12" t="str">
        <f>IF($A44="","",IF(COUNTIFS(Tasks!$B$5:$B$1000,$A44,Tasks!$A$5:$A$1000,"&lt;&gt;")=0,0,COUNTIFS(Tasks!$B$5:$B$1000,$A44,Tasks!$A$5:$A$1000,"&lt;&gt;",Tasks!$D$5:$D$1000,"Done")/COUNTIFS(Tasks!$B$5:$B$1000,$A44,Tasks!$A$5:$A$1000,"&lt;&gt;")))</f>
        <v/>
      </c>
      <c r="K44" s="11" t="str">
        <f>IF(OR($A44="",$F44=""),"",$F44-Overview!$B$3)</f>
        <v/>
      </c>
    </row>
    <row r="45" spans="4:11" x14ac:dyDescent="0.25">
      <c r="D45" s="18" t="str">
        <f>IF($C45="","",IFERROR(INDEX(Clients!$B$5:$B$1000,MATCH($C45,Clients!$A$5:$A$1000,0)),"Unknown client ID"))</f>
        <v/>
      </c>
      <c r="E45" s="16"/>
      <c r="F45" s="16"/>
      <c r="G45" s="17"/>
      <c r="J45" s="12" t="str">
        <f>IF($A45="","",IF(COUNTIFS(Tasks!$B$5:$B$1000,$A45,Tasks!$A$5:$A$1000,"&lt;&gt;")=0,0,COUNTIFS(Tasks!$B$5:$B$1000,$A45,Tasks!$A$5:$A$1000,"&lt;&gt;",Tasks!$D$5:$D$1000,"Done")/COUNTIFS(Tasks!$B$5:$B$1000,$A45,Tasks!$A$5:$A$1000,"&lt;&gt;")))</f>
        <v/>
      </c>
      <c r="K45" s="11" t="str">
        <f>IF(OR($A45="",$F45=""),"",$F45-Overview!$B$3)</f>
        <v/>
      </c>
    </row>
    <row r="46" spans="4:11" x14ac:dyDescent="0.25">
      <c r="D46" s="18" t="str">
        <f>IF($C46="","",IFERROR(INDEX(Clients!$B$5:$B$1000,MATCH($C46,Clients!$A$5:$A$1000,0)),"Unknown client ID"))</f>
        <v/>
      </c>
      <c r="E46" s="16"/>
      <c r="F46" s="16"/>
      <c r="G46" s="17"/>
      <c r="J46" s="12" t="str">
        <f>IF($A46="","",IF(COUNTIFS(Tasks!$B$5:$B$1000,$A46,Tasks!$A$5:$A$1000,"&lt;&gt;")=0,0,COUNTIFS(Tasks!$B$5:$B$1000,$A46,Tasks!$A$5:$A$1000,"&lt;&gt;",Tasks!$D$5:$D$1000,"Done")/COUNTIFS(Tasks!$B$5:$B$1000,$A46,Tasks!$A$5:$A$1000,"&lt;&gt;")))</f>
        <v/>
      </c>
      <c r="K46" s="11" t="str">
        <f>IF(OR($A46="",$F46=""),"",$F46-Overview!$B$3)</f>
        <v/>
      </c>
    </row>
    <row r="47" spans="4:11" x14ac:dyDescent="0.25">
      <c r="D47" s="18" t="str">
        <f>IF($C47="","",IFERROR(INDEX(Clients!$B$5:$B$1000,MATCH($C47,Clients!$A$5:$A$1000,0)),"Unknown client ID"))</f>
        <v/>
      </c>
      <c r="E47" s="16"/>
      <c r="F47" s="16"/>
      <c r="G47" s="17"/>
      <c r="J47" s="12" t="str">
        <f>IF($A47="","",IF(COUNTIFS(Tasks!$B$5:$B$1000,$A47,Tasks!$A$5:$A$1000,"&lt;&gt;")=0,0,COUNTIFS(Tasks!$B$5:$B$1000,$A47,Tasks!$A$5:$A$1000,"&lt;&gt;",Tasks!$D$5:$D$1000,"Done")/COUNTIFS(Tasks!$B$5:$B$1000,$A47,Tasks!$A$5:$A$1000,"&lt;&gt;")))</f>
        <v/>
      </c>
      <c r="K47" s="11" t="str">
        <f>IF(OR($A47="",$F47=""),"",$F47-Overview!$B$3)</f>
        <v/>
      </c>
    </row>
    <row r="48" spans="4:11" x14ac:dyDescent="0.25">
      <c r="D48" s="18" t="str">
        <f>IF($C48="","",IFERROR(INDEX(Clients!$B$5:$B$1000,MATCH($C48,Clients!$A$5:$A$1000,0)),"Unknown client ID"))</f>
        <v/>
      </c>
      <c r="E48" s="16"/>
      <c r="F48" s="16"/>
      <c r="G48" s="17"/>
      <c r="J48" s="12" t="str">
        <f>IF($A48="","",IF(COUNTIFS(Tasks!$B$5:$B$1000,$A48,Tasks!$A$5:$A$1000,"&lt;&gt;")=0,0,COUNTIFS(Tasks!$B$5:$B$1000,$A48,Tasks!$A$5:$A$1000,"&lt;&gt;",Tasks!$D$5:$D$1000,"Done")/COUNTIFS(Tasks!$B$5:$B$1000,$A48,Tasks!$A$5:$A$1000,"&lt;&gt;")))</f>
        <v/>
      </c>
      <c r="K48" s="11" t="str">
        <f>IF(OR($A48="",$F48=""),"",$F48-Overview!$B$3)</f>
        <v/>
      </c>
    </row>
    <row r="49" spans="4:11" x14ac:dyDescent="0.25">
      <c r="D49" s="18" t="str">
        <f>IF($C49="","",IFERROR(INDEX(Clients!$B$5:$B$1000,MATCH($C49,Clients!$A$5:$A$1000,0)),"Unknown client ID"))</f>
        <v/>
      </c>
      <c r="E49" s="16"/>
      <c r="F49" s="16"/>
      <c r="G49" s="17"/>
      <c r="J49" s="12" t="str">
        <f>IF($A49="","",IF(COUNTIFS(Tasks!$B$5:$B$1000,$A49,Tasks!$A$5:$A$1000,"&lt;&gt;")=0,0,COUNTIFS(Tasks!$B$5:$B$1000,$A49,Tasks!$A$5:$A$1000,"&lt;&gt;",Tasks!$D$5:$D$1000,"Done")/COUNTIFS(Tasks!$B$5:$B$1000,$A49,Tasks!$A$5:$A$1000,"&lt;&gt;")))</f>
        <v/>
      </c>
      <c r="K49" s="11" t="str">
        <f>IF(OR($A49="",$F49=""),"",$F49-Overview!$B$3)</f>
        <v/>
      </c>
    </row>
    <row r="50" spans="4:11" x14ac:dyDescent="0.25">
      <c r="D50" s="18" t="str">
        <f>IF($C50="","",IFERROR(INDEX(Clients!$B$5:$B$1000,MATCH($C50,Clients!$A$5:$A$1000,0)),"Unknown client ID"))</f>
        <v/>
      </c>
      <c r="E50" s="16"/>
      <c r="F50" s="16"/>
      <c r="G50" s="17"/>
      <c r="J50" s="12" t="str">
        <f>IF($A50="","",IF(COUNTIFS(Tasks!$B$5:$B$1000,$A50,Tasks!$A$5:$A$1000,"&lt;&gt;")=0,0,COUNTIFS(Tasks!$B$5:$B$1000,$A50,Tasks!$A$5:$A$1000,"&lt;&gt;",Tasks!$D$5:$D$1000,"Done")/COUNTIFS(Tasks!$B$5:$B$1000,$A50,Tasks!$A$5:$A$1000,"&lt;&gt;")))</f>
        <v/>
      </c>
      <c r="K50" s="11" t="str">
        <f>IF(OR($A50="",$F50=""),"",$F50-Overview!$B$3)</f>
        <v/>
      </c>
    </row>
    <row r="51" spans="4:11" x14ac:dyDescent="0.25">
      <c r="D51" s="18" t="str">
        <f>IF($C51="","",IFERROR(INDEX(Clients!$B$5:$B$1000,MATCH($C51,Clients!$A$5:$A$1000,0)),"Unknown client ID"))</f>
        <v/>
      </c>
      <c r="E51" s="16"/>
      <c r="F51" s="16"/>
      <c r="G51" s="17"/>
      <c r="J51" s="12" t="str">
        <f>IF($A51="","",IF(COUNTIFS(Tasks!$B$5:$B$1000,$A51,Tasks!$A$5:$A$1000,"&lt;&gt;")=0,0,COUNTIFS(Tasks!$B$5:$B$1000,$A51,Tasks!$A$5:$A$1000,"&lt;&gt;",Tasks!$D$5:$D$1000,"Done")/COUNTIFS(Tasks!$B$5:$B$1000,$A51,Tasks!$A$5:$A$1000,"&lt;&gt;")))</f>
        <v/>
      </c>
      <c r="K51" s="11" t="str">
        <f>IF(OR($A51="",$F51=""),"",$F51-Overview!$B$3)</f>
        <v/>
      </c>
    </row>
    <row r="52" spans="4:11" x14ac:dyDescent="0.25">
      <c r="D52" s="18" t="str">
        <f>IF($C52="","",IFERROR(INDEX(Clients!$B$5:$B$1000,MATCH($C52,Clients!$A$5:$A$1000,0)),"Unknown client ID"))</f>
        <v/>
      </c>
      <c r="E52" s="16"/>
      <c r="F52" s="16"/>
      <c r="G52" s="17"/>
      <c r="J52" s="12" t="str">
        <f>IF($A52="","",IF(COUNTIFS(Tasks!$B$5:$B$1000,$A52,Tasks!$A$5:$A$1000,"&lt;&gt;")=0,0,COUNTIFS(Tasks!$B$5:$B$1000,$A52,Tasks!$A$5:$A$1000,"&lt;&gt;",Tasks!$D$5:$D$1000,"Done")/COUNTIFS(Tasks!$B$5:$B$1000,$A52,Tasks!$A$5:$A$1000,"&lt;&gt;")))</f>
        <v/>
      </c>
      <c r="K52" s="11" t="str">
        <f>IF(OR($A52="",$F52=""),"",$F52-Overview!$B$3)</f>
        <v/>
      </c>
    </row>
    <row r="53" spans="4:11" x14ac:dyDescent="0.25">
      <c r="D53" s="18" t="str">
        <f>IF($C53="","",IFERROR(INDEX(Clients!$B$5:$B$1000,MATCH($C53,Clients!$A$5:$A$1000,0)),"Unknown client ID"))</f>
        <v/>
      </c>
      <c r="E53" s="16"/>
      <c r="F53" s="16"/>
      <c r="G53" s="17"/>
      <c r="J53" s="12" t="str">
        <f>IF($A53="","",IF(COUNTIFS(Tasks!$B$5:$B$1000,$A53,Tasks!$A$5:$A$1000,"&lt;&gt;")=0,0,COUNTIFS(Tasks!$B$5:$B$1000,$A53,Tasks!$A$5:$A$1000,"&lt;&gt;",Tasks!$D$5:$D$1000,"Done")/COUNTIFS(Tasks!$B$5:$B$1000,$A53,Tasks!$A$5:$A$1000,"&lt;&gt;")))</f>
        <v/>
      </c>
      <c r="K53" s="11" t="str">
        <f>IF(OR($A53="",$F53=""),"",$F53-Overview!$B$3)</f>
        <v/>
      </c>
    </row>
    <row r="54" spans="4:11" x14ac:dyDescent="0.25">
      <c r="D54" s="18" t="str">
        <f>IF($C54="","",IFERROR(INDEX(Clients!$B$5:$B$1000,MATCH($C54,Clients!$A$5:$A$1000,0)),"Unknown client ID"))</f>
        <v/>
      </c>
      <c r="E54" s="16"/>
      <c r="F54" s="16"/>
      <c r="G54" s="17"/>
      <c r="J54" s="12" t="str">
        <f>IF($A54="","",IF(COUNTIFS(Tasks!$B$5:$B$1000,$A54,Tasks!$A$5:$A$1000,"&lt;&gt;")=0,0,COUNTIFS(Tasks!$B$5:$B$1000,$A54,Tasks!$A$5:$A$1000,"&lt;&gt;",Tasks!$D$5:$D$1000,"Done")/COUNTIFS(Tasks!$B$5:$B$1000,$A54,Tasks!$A$5:$A$1000,"&lt;&gt;")))</f>
        <v/>
      </c>
      <c r="K54" s="11" t="str">
        <f>IF(OR($A54="",$F54=""),"",$F54-Overview!$B$3)</f>
        <v/>
      </c>
    </row>
    <row r="55" spans="4:11" x14ac:dyDescent="0.25">
      <c r="D55" s="18" t="str">
        <f>IF($C55="","",IFERROR(INDEX(Clients!$B$5:$B$1000,MATCH($C55,Clients!$A$5:$A$1000,0)),"Unknown client ID"))</f>
        <v/>
      </c>
      <c r="E55" s="16"/>
      <c r="F55" s="16"/>
      <c r="G55" s="17"/>
      <c r="J55" s="12" t="str">
        <f>IF($A55="","",IF(COUNTIFS(Tasks!$B$5:$B$1000,$A55,Tasks!$A$5:$A$1000,"&lt;&gt;")=0,0,COUNTIFS(Tasks!$B$5:$B$1000,$A55,Tasks!$A$5:$A$1000,"&lt;&gt;",Tasks!$D$5:$D$1000,"Done")/COUNTIFS(Tasks!$B$5:$B$1000,$A55,Tasks!$A$5:$A$1000,"&lt;&gt;")))</f>
        <v/>
      </c>
      <c r="K55" s="11" t="str">
        <f>IF(OR($A55="",$F55=""),"",$F55-Overview!$B$3)</f>
        <v/>
      </c>
    </row>
    <row r="56" spans="4:11" x14ac:dyDescent="0.25">
      <c r="D56" s="18" t="str">
        <f>IF($C56="","",IFERROR(INDEX(Clients!$B$5:$B$1000,MATCH($C56,Clients!$A$5:$A$1000,0)),"Unknown client ID"))</f>
        <v/>
      </c>
      <c r="E56" s="16"/>
      <c r="F56" s="16"/>
      <c r="G56" s="17"/>
      <c r="J56" s="12" t="str">
        <f>IF($A56="","",IF(COUNTIFS(Tasks!$B$5:$B$1000,$A56,Tasks!$A$5:$A$1000,"&lt;&gt;")=0,0,COUNTIFS(Tasks!$B$5:$B$1000,$A56,Tasks!$A$5:$A$1000,"&lt;&gt;",Tasks!$D$5:$D$1000,"Done")/COUNTIFS(Tasks!$B$5:$B$1000,$A56,Tasks!$A$5:$A$1000,"&lt;&gt;")))</f>
        <v/>
      </c>
      <c r="K56" s="11" t="str">
        <f>IF(OR($A56="",$F56=""),"",$F56-Overview!$B$3)</f>
        <v/>
      </c>
    </row>
    <row r="57" spans="4:11" x14ac:dyDescent="0.25">
      <c r="D57" s="18" t="str">
        <f>IF($C57="","",IFERROR(INDEX(Clients!$B$5:$B$1000,MATCH($C57,Clients!$A$5:$A$1000,0)),"Unknown client ID"))</f>
        <v/>
      </c>
      <c r="E57" s="16"/>
      <c r="F57" s="16"/>
      <c r="G57" s="17"/>
      <c r="J57" s="12" t="str">
        <f>IF($A57="","",IF(COUNTIFS(Tasks!$B$5:$B$1000,$A57,Tasks!$A$5:$A$1000,"&lt;&gt;")=0,0,COUNTIFS(Tasks!$B$5:$B$1000,$A57,Tasks!$A$5:$A$1000,"&lt;&gt;",Tasks!$D$5:$D$1000,"Done")/COUNTIFS(Tasks!$B$5:$B$1000,$A57,Tasks!$A$5:$A$1000,"&lt;&gt;")))</f>
        <v/>
      </c>
      <c r="K57" s="11" t="str">
        <f>IF(OR($A57="",$F57=""),"",$F57-Overview!$B$3)</f>
        <v/>
      </c>
    </row>
    <row r="58" spans="4:11" x14ac:dyDescent="0.25">
      <c r="D58" s="18" t="str">
        <f>IF($C58="","",IFERROR(INDEX(Clients!$B$5:$B$1000,MATCH($C58,Clients!$A$5:$A$1000,0)),"Unknown client ID"))</f>
        <v/>
      </c>
      <c r="E58" s="16"/>
      <c r="F58" s="16"/>
      <c r="G58" s="17"/>
      <c r="J58" s="12" t="str">
        <f>IF($A58="","",IF(COUNTIFS(Tasks!$B$5:$B$1000,$A58,Tasks!$A$5:$A$1000,"&lt;&gt;")=0,0,COUNTIFS(Tasks!$B$5:$B$1000,$A58,Tasks!$A$5:$A$1000,"&lt;&gt;",Tasks!$D$5:$D$1000,"Done")/COUNTIFS(Tasks!$B$5:$B$1000,$A58,Tasks!$A$5:$A$1000,"&lt;&gt;")))</f>
        <v/>
      </c>
      <c r="K58" s="11" t="str">
        <f>IF(OR($A58="",$F58=""),"",$F58-Overview!$B$3)</f>
        <v/>
      </c>
    </row>
    <row r="59" spans="4:11" x14ac:dyDescent="0.25">
      <c r="D59" s="18" t="str">
        <f>IF($C59="","",IFERROR(INDEX(Clients!$B$5:$B$1000,MATCH($C59,Clients!$A$5:$A$1000,0)),"Unknown client ID"))</f>
        <v/>
      </c>
      <c r="E59" s="16"/>
      <c r="F59" s="16"/>
      <c r="G59" s="17"/>
      <c r="J59" s="12" t="str">
        <f>IF($A59="","",IF(COUNTIFS(Tasks!$B$5:$B$1000,$A59,Tasks!$A$5:$A$1000,"&lt;&gt;")=0,0,COUNTIFS(Tasks!$B$5:$B$1000,$A59,Tasks!$A$5:$A$1000,"&lt;&gt;",Tasks!$D$5:$D$1000,"Done")/COUNTIFS(Tasks!$B$5:$B$1000,$A59,Tasks!$A$5:$A$1000,"&lt;&gt;")))</f>
        <v/>
      </c>
      <c r="K59" s="11" t="str">
        <f>IF(OR($A59="",$F59=""),"",$F59-Overview!$B$3)</f>
        <v/>
      </c>
    </row>
    <row r="60" spans="4:11" x14ac:dyDescent="0.25">
      <c r="D60" s="18" t="str">
        <f>IF($C60="","",IFERROR(INDEX(Clients!$B$5:$B$1000,MATCH($C60,Clients!$A$5:$A$1000,0)),"Unknown client ID"))</f>
        <v/>
      </c>
      <c r="E60" s="16"/>
      <c r="F60" s="16"/>
      <c r="G60" s="17"/>
      <c r="J60" s="12" t="str">
        <f>IF($A60="","",IF(COUNTIFS(Tasks!$B$5:$B$1000,$A60,Tasks!$A$5:$A$1000,"&lt;&gt;")=0,0,COUNTIFS(Tasks!$B$5:$B$1000,$A60,Tasks!$A$5:$A$1000,"&lt;&gt;",Tasks!$D$5:$D$1000,"Done")/COUNTIFS(Tasks!$B$5:$B$1000,$A60,Tasks!$A$5:$A$1000,"&lt;&gt;")))</f>
        <v/>
      </c>
      <c r="K60" s="11" t="str">
        <f>IF(OR($A60="",$F60=""),"",$F60-Overview!$B$3)</f>
        <v/>
      </c>
    </row>
    <row r="61" spans="4:11" x14ac:dyDescent="0.25">
      <c r="D61" s="18" t="str">
        <f>IF($C61="","",IFERROR(INDEX(Clients!$B$5:$B$1000,MATCH($C61,Clients!$A$5:$A$1000,0)),"Unknown client ID"))</f>
        <v/>
      </c>
      <c r="E61" s="16"/>
      <c r="F61" s="16"/>
      <c r="G61" s="17"/>
      <c r="J61" s="12" t="str">
        <f>IF($A61="","",IF(COUNTIFS(Tasks!$B$5:$B$1000,$A61,Tasks!$A$5:$A$1000,"&lt;&gt;")=0,0,COUNTIFS(Tasks!$B$5:$B$1000,$A61,Tasks!$A$5:$A$1000,"&lt;&gt;",Tasks!$D$5:$D$1000,"Done")/COUNTIFS(Tasks!$B$5:$B$1000,$A61,Tasks!$A$5:$A$1000,"&lt;&gt;")))</f>
        <v/>
      </c>
      <c r="K61" s="11" t="str">
        <f>IF(OR($A61="",$F61=""),"",$F61-Overview!$B$3)</f>
        <v/>
      </c>
    </row>
    <row r="62" spans="4:11" x14ac:dyDescent="0.25">
      <c r="D62" s="18" t="str">
        <f>IF($C62="","",IFERROR(INDEX(Clients!$B$5:$B$1000,MATCH($C62,Clients!$A$5:$A$1000,0)),"Unknown client ID"))</f>
        <v/>
      </c>
      <c r="E62" s="16"/>
      <c r="F62" s="16"/>
      <c r="G62" s="17"/>
      <c r="J62" s="12" t="str">
        <f>IF($A62="","",IF(COUNTIFS(Tasks!$B$5:$B$1000,$A62,Tasks!$A$5:$A$1000,"&lt;&gt;")=0,0,COUNTIFS(Tasks!$B$5:$B$1000,$A62,Tasks!$A$5:$A$1000,"&lt;&gt;",Tasks!$D$5:$D$1000,"Done")/COUNTIFS(Tasks!$B$5:$B$1000,$A62,Tasks!$A$5:$A$1000,"&lt;&gt;")))</f>
        <v/>
      </c>
      <c r="K62" s="11" t="str">
        <f>IF(OR($A62="",$F62=""),"",$F62-Overview!$B$3)</f>
        <v/>
      </c>
    </row>
    <row r="63" spans="4:11" x14ac:dyDescent="0.25">
      <c r="D63" s="18" t="str">
        <f>IF($C63="","",IFERROR(INDEX(Clients!$B$5:$B$1000,MATCH($C63,Clients!$A$5:$A$1000,0)),"Unknown client ID"))</f>
        <v/>
      </c>
      <c r="E63" s="16"/>
      <c r="F63" s="16"/>
      <c r="G63" s="17"/>
      <c r="J63" s="12" t="str">
        <f>IF($A63="","",IF(COUNTIFS(Tasks!$B$5:$B$1000,$A63,Tasks!$A$5:$A$1000,"&lt;&gt;")=0,0,COUNTIFS(Tasks!$B$5:$B$1000,$A63,Tasks!$A$5:$A$1000,"&lt;&gt;",Tasks!$D$5:$D$1000,"Done")/COUNTIFS(Tasks!$B$5:$B$1000,$A63,Tasks!$A$5:$A$1000,"&lt;&gt;")))</f>
        <v/>
      </c>
      <c r="K63" s="11" t="str">
        <f>IF(OR($A63="",$F63=""),"",$F63-Overview!$B$3)</f>
        <v/>
      </c>
    </row>
    <row r="64" spans="4:11" x14ac:dyDescent="0.25">
      <c r="D64" s="18" t="str">
        <f>IF($C64="","",IFERROR(INDEX(Clients!$B$5:$B$1000,MATCH($C64,Clients!$A$5:$A$1000,0)),"Unknown client ID"))</f>
        <v/>
      </c>
      <c r="E64" s="16"/>
      <c r="F64" s="16"/>
      <c r="G64" s="17"/>
      <c r="J64" s="12" t="str">
        <f>IF($A64="","",IF(COUNTIFS(Tasks!$B$5:$B$1000,$A64,Tasks!$A$5:$A$1000,"&lt;&gt;")=0,0,COUNTIFS(Tasks!$B$5:$B$1000,$A64,Tasks!$A$5:$A$1000,"&lt;&gt;",Tasks!$D$5:$D$1000,"Done")/COUNTIFS(Tasks!$B$5:$B$1000,$A64,Tasks!$A$5:$A$1000,"&lt;&gt;")))</f>
        <v/>
      </c>
      <c r="K64" s="11" t="str">
        <f>IF(OR($A64="",$F64=""),"",$F64-Overview!$B$3)</f>
        <v/>
      </c>
    </row>
    <row r="65" spans="4:11" x14ac:dyDescent="0.25">
      <c r="D65" s="18" t="str">
        <f>IF($C65="","",IFERROR(INDEX(Clients!$B$5:$B$1000,MATCH($C65,Clients!$A$5:$A$1000,0)),"Unknown client ID"))</f>
        <v/>
      </c>
      <c r="E65" s="16"/>
      <c r="F65" s="16"/>
      <c r="G65" s="17"/>
      <c r="J65" s="12" t="str">
        <f>IF($A65="","",IF(COUNTIFS(Tasks!$B$5:$B$1000,$A65,Tasks!$A$5:$A$1000,"&lt;&gt;")=0,0,COUNTIFS(Tasks!$B$5:$B$1000,$A65,Tasks!$A$5:$A$1000,"&lt;&gt;",Tasks!$D$5:$D$1000,"Done")/COUNTIFS(Tasks!$B$5:$B$1000,$A65,Tasks!$A$5:$A$1000,"&lt;&gt;")))</f>
        <v/>
      </c>
      <c r="K65" s="11" t="str">
        <f>IF(OR($A65="",$F65=""),"",$F65-Overview!$B$3)</f>
        <v/>
      </c>
    </row>
    <row r="66" spans="4:11" x14ac:dyDescent="0.25">
      <c r="D66" s="18" t="str">
        <f>IF($C66="","",IFERROR(INDEX(Clients!$B$5:$B$1000,MATCH($C66,Clients!$A$5:$A$1000,0)),"Unknown client ID"))</f>
        <v/>
      </c>
      <c r="E66" s="16"/>
      <c r="F66" s="16"/>
      <c r="G66" s="17"/>
      <c r="J66" s="12" t="str">
        <f>IF($A66="","",IF(COUNTIFS(Tasks!$B$5:$B$1000,$A66,Tasks!$A$5:$A$1000,"&lt;&gt;")=0,0,COUNTIFS(Tasks!$B$5:$B$1000,$A66,Tasks!$A$5:$A$1000,"&lt;&gt;",Tasks!$D$5:$D$1000,"Done")/COUNTIFS(Tasks!$B$5:$B$1000,$A66,Tasks!$A$5:$A$1000,"&lt;&gt;")))</f>
        <v/>
      </c>
      <c r="K66" s="11" t="str">
        <f>IF(OR($A66="",$F66=""),"",$F66-Overview!$B$3)</f>
        <v/>
      </c>
    </row>
    <row r="67" spans="4:11" x14ac:dyDescent="0.25">
      <c r="D67" s="18" t="str">
        <f>IF($C67="","",IFERROR(INDEX(Clients!$B$5:$B$1000,MATCH($C67,Clients!$A$5:$A$1000,0)),"Unknown client ID"))</f>
        <v/>
      </c>
      <c r="E67" s="16"/>
      <c r="F67" s="16"/>
      <c r="G67" s="17"/>
      <c r="J67" s="12" t="str">
        <f>IF($A67="","",IF(COUNTIFS(Tasks!$B$5:$B$1000,$A67,Tasks!$A$5:$A$1000,"&lt;&gt;")=0,0,COUNTIFS(Tasks!$B$5:$B$1000,$A67,Tasks!$A$5:$A$1000,"&lt;&gt;",Tasks!$D$5:$D$1000,"Done")/COUNTIFS(Tasks!$B$5:$B$1000,$A67,Tasks!$A$5:$A$1000,"&lt;&gt;")))</f>
        <v/>
      </c>
      <c r="K67" s="11" t="str">
        <f>IF(OR($A67="",$F67=""),"",$F67-Overview!$B$3)</f>
        <v/>
      </c>
    </row>
    <row r="68" spans="4:11" x14ac:dyDescent="0.25">
      <c r="D68" s="18" t="str">
        <f>IF($C68="","",IFERROR(INDEX(Clients!$B$5:$B$1000,MATCH($C68,Clients!$A$5:$A$1000,0)),"Unknown client ID"))</f>
        <v/>
      </c>
      <c r="E68" s="16"/>
      <c r="F68" s="16"/>
      <c r="G68" s="17"/>
      <c r="J68" s="12" t="str">
        <f>IF($A68="","",IF(COUNTIFS(Tasks!$B$5:$B$1000,$A68,Tasks!$A$5:$A$1000,"&lt;&gt;")=0,0,COUNTIFS(Tasks!$B$5:$B$1000,$A68,Tasks!$A$5:$A$1000,"&lt;&gt;",Tasks!$D$5:$D$1000,"Done")/COUNTIFS(Tasks!$B$5:$B$1000,$A68,Tasks!$A$5:$A$1000,"&lt;&gt;")))</f>
        <v/>
      </c>
      <c r="K68" s="11" t="str">
        <f>IF(OR($A68="",$F68=""),"",$F68-Overview!$B$3)</f>
        <v/>
      </c>
    </row>
    <row r="69" spans="4:11" x14ac:dyDescent="0.25">
      <c r="D69" s="18" t="str">
        <f>IF($C69="","",IFERROR(INDEX(Clients!$B$5:$B$1000,MATCH($C69,Clients!$A$5:$A$1000,0)),"Unknown client ID"))</f>
        <v/>
      </c>
      <c r="E69" s="16"/>
      <c r="F69" s="16"/>
      <c r="G69" s="17"/>
      <c r="J69" s="12" t="str">
        <f>IF($A69="","",IF(COUNTIFS(Tasks!$B$5:$B$1000,$A69,Tasks!$A$5:$A$1000,"&lt;&gt;")=0,0,COUNTIFS(Tasks!$B$5:$B$1000,$A69,Tasks!$A$5:$A$1000,"&lt;&gt;",Tasks!$D$5:$D$1000,"Done")/COUNTIFS(Tasks!$B$5:$B$1000,$A69,Tasks!$A$5:$A$1000,"&lt;&gt;")))</f>
        <v/>
      </c>
      <c r="K69" s="11" t="str">
        <f>IF(OR($A69="",$F69=""),"",$F69-Overview!$B$3)</f>
        <v/>
      </c>
    </row>
    <row r="70" spans="4:11" x14ac:dyDescent="0.25">
      <c r="D70" s="18" t="str">
        <f>IF($C70="","",IFERROR(INDEX(Clients!$B$5:$B$1000,MATCH($C70,Clients!$A$5:$A$1000,0)),"Unknown client ID"))</f>
        <v/>
      </c>
      <c r="E70" s="16"/>
      <c r="F70" s="16"/>
      <c r="G70" s="17"/>
      <c r="J70" s="12" t="str">
        <f>IF($A70="","",IF(COUNTIFS(Tasks!$B$5:$B$1000,$A70,Tasks!$A$5:$A$1000,"&lt;&gt;")=0,0,COUNTIFS(Tasks!$B$5:$B$1000,$A70,Tasks!$A$5:$A$1000,"&lt;&gt;",Tasks!$D$5:$D$1000,"Done")/COUNTIFS(Tasks!$B$5:$B$1000,$A70,Tasks!$A$5:$A$1000,"&lt;&gt;")))</f>
        <v/>
      </c>
      <c r="K70" s="11" t="str">
        <f>IF(OR($A70="",$F70=""),"",$F70-Overview!$B$3)</f>
        <v/>
      </c>
    </row>
    <row r="71" spans="4:11" x14ac:dyDescent="0.25">
      <c r="D71" s="18" t="str">
        <f>IF($C71="","",IFERROR(INDEX(Clients!$B$5:$B$1000,MATCH($C71,Clients!$A$5:$A$1000,0)),"Unknown client ID"))</f>
        <v/>
      </c>
      <c r="E71" s="16"/>
      <c r="F71" s="16"/>
      <c r="G71" s="17"/>
      <c r="J71" s="12" t="str">
        <f>IF($A71="","",IF(COUNTIFS(Tasks!$B$5:$B$1000,$A71,Tasks!$A$5:$A$1000,"&lt;&gt;")=0,0,COUNTIFS(Tasks!$B$5:$B$1000,$A71,Tasks!$A$5:$A$1000,"&lt;&gt;",Tasks!$D$5:$D$1000,"Done")/COUNTIFS(Tasks!$B$5:$B$1000,$A71,Tasks!$A$5:$A$1000,"&lt;&gt;")))</f>
        <v/>
      </c>
      <c r="K71" s="11" t="str">
        <f>IF(OR($A71="",$F71=""),"",$F71-Overview!$B$3)</f>
        <v/>
      </c>
    </row>
    <row r="72" spans="4:11" x14ac:dyDescent="0.25">
      <c r="D72" s="18" t="str">
        <f>IF($C72="","",IFERROR(INDEX(Clients!$B$5:$B$1000,MATCH($C72,Clients!$A$5:$A$1000,0)),"Unknown client ID"))</f>
        <v/>
      </c>
      <c r="E72" s="16"/>
      <c r="F72" s="16"/>
      <c r="G72" s="17"/>
      <c r="J72" s="12" t="str">
        <f>IF($A72="","",IF(COUNTIFS(Tasks!$B$5:$B$1000,$A72,Tasks!$A$5:$A$1000,"&lt;&gt;")=0,0,COUNTIFS(Tasks!$B$5:$B$1000,$A72,Tasks!$A$5:$A$1000,"&lt;&gt;",Tasks!$D$5:$D$1000,"Done")/COUNTIFS(Tasks!$B$5:$B$1000,$A72,Tasks!$A$5:$A$1000,"&lt;&gt;")))</f>
        <v/>
      </c>
      <c r="K72" s="11" t="str">
        <f>IF(OR($A72="",$F72=""),"",$F72-Overview!$B$3)</f>
        <v/>
      </c>
    </row>
    <row r="73" spans="4:11" x14ac:dyDescent="0.25">
      <c r="D73" s="18" t="str">
        <f>IF($C73="","",IFERROR(INDEX(Clients!$B$5:$B$1000,MATCH($C73,Clients!$A$5:$A$1000,0)),"Unknown client ID"))</f>
        <v/>
      </c>
      <c r="E73" s="16"/>
      <c r="F73" s="16"/>
      <c r="G73" s="17"/>
      <c r="J73" s="12" t="str">
        <f>IF($A73="","",IF(COUNTIFS(Tasks!$B$5:$B$1000,$A73,Tasks!$A$5:$A$1000,"&lt;&gt;")=0,0,COUNTIFS(Tasks!$B$5:$B$1000,$A73,Tasks!$A$5:$A$1000,"&lt;&gt;",Tasks!$D$5:$D$1000,"Done")/COUNTIFS(Tasks!$B$5:$B$1000,$A73,Tasks!$A$5:$A$1000,"&lt;&gt;")))</f>
        <v/>
      </c>
      <c r="K73" s="11" t="str">
        <f>IF(OR($A73="",$F73=""),"",$F73-Overview!$B$3)</f>
        <v/>
      </c>
    </row>
    <row r="74" spans="4:11" x14ac:dyDescent="0.25">
      <c r="D74" s="18" t="str">
        <f>IF($C74="","",IFERROR(INDEX(Clients!$B$5:$B$1000,MATCH($C74,Clients!$A$5:$A$1000,0)),"Unknown client ID"))</f>
        <v/>
      </c>
      <c r="E74" s="16"/>
      <c r="F74" s="16"/>
      <c r="G74" s="17"/>
      <c r="J74" s="12" t="str">
        <f>IF($A74="","",IF(COUNTIFS(Tasks!$B$5:$B$1000,$A74,Tasks!$A$5:$A$1000,"&lt;&gt;")=0,0,COUNTIFS(Tasks!$B$5:$B$1000,$A74,Tasks!$A$5:$A$1000,"&lt;&gt;",Tasks!$D$5:$D$1000,"Done")/COUNTIFS(Tasks!$B$5:$B$1000,$A74,Tasks!$A$5:$A$1000,"&lt;&gt;")))</f>
        <v/>
      </c>
      <c r="K74" s="11" t="str">
        <f>IF(OR($A74="",$F74=""),"",$F74-Overview!$B$3)</f>
        <v/>
      </c>
    </row>
    <row r="75" spans="4:11" x14ac:dyDescent="0.25">
      <c r="D75" s="18" t="str">
        <f>IF($C75="","",IFERROR(INDEX(Clients!$B$5:$B$1000,MATCH($C75,Clients!$A$5:$A$1000,0)),"Unknown client ID"))</f>
        <v/>
      </c>
      <c r="E75" s="16"/>
      <c r="F75" s="16"/>
      <c r="G75" s="17"/>
      <c r="J75" s="12" t="str">
        <f>IF($A75="","",IF(COUNTIFS(Tasks!$B$5:$B$1000,$A75,Tasks!$A$5:$A$1000,"&lt;&gt;")=0,0,COUNTIFS(Tasks!$B$5:$B$1000,$A75,Tasks!$A$5:$A$1000,"&lt;&gt;",Tasks!$D$5:$D$1000,"Done")/COUNTIFS(Tasks!$B$5:$B$1000,$A75,Tasks!$A$5:$A$1000,"&lt;&gt;")))</f>
        <v/>
      </c>
      <c r="K75" s="11" t="str">
        <f>IF(OR($A75="",$F75=""),"",$F75-Overview!$B$3)</f>
        <v/>
      </c>
    </row>
    <row r="76" spans="4:11" x14ac:dyDescent="0.25">
      <c r="D76" s="18" t="str">
        <f>IF($C76="","",IFERROR(INDEX(Clients!$B$5:$B$1000,MATCH($C76,Clients!$A$5:$A$1000,0)),"Unknown client ID"))</f>
        <v/>
      </c>
      <c r="E76" s="16"/>
      <c r="F76" s="16"/>
      <c r="G76" s="17"/>
      <c r="J76" s="12" t="str">
        <f>IF($A76="","",IF(COUNTIFS(Tasks!$B$5:$B$1000,$A76,Tasks!$A$5:$A$1000,"&lt;&gt;")=0,0,COUNTIFS(Tasks!$B$5:$B$1000,$A76,Tasks!$A$5:$A$1000,"&lt;&gt;",Tasks!$D$5:$D$1000,"Done")/COUNTIFS(Tasks!$B$5:$B$1000,$A76,Tasks!$A$5:$A$1000,"&lt;&gt;")))</f>
        <v/>
      </c>
      <c r="K76" s="11" t="str">
        <f>IF(OR($A76="",$F76=""),"",$F76-Overview!$B$3)</f>
        <v/>
      </c>
    </row>
    <row r="77" spans="4:11" x14ac:dyDescent="0.25">
      <c r="D77" s="18" t="str">
        <f>IF($C77="","",IFERROR(INDEX(Clients!$B$5:$B$1000,MATCH($C77,Clients!$A$5:$A$1000,0)),"Unknown client ID"))</f>
        <v/>
      </c>
      <c r="E77" s="16"/>
      <c r="F77" s="16"/>
      <c r="G77" s="17"/>
      <c r="J77" s="12" t="str">
        <f>IF($A77="","",IF(COUNTIFS(Tasks!$B$5:$B$1000,$A77,Tasks!$A$5:$A$1000,"&lt;&gt;")=0,0,COUNTIFS(Tasks!$B$5:$B$1000,$A77,Tasks!$A$5:$A$1000,"&lt;&gt;",Tasks!$D$5:$D$1000,"Done")/COUNTIFS(Tasks!$B$5:$B$1000,$A77,Tasks!$A$5:$A$1000,"&lt;&gt;")))</f>
        <v/>
      </c>
      <c r="K77" s="11" t="str">
        <f>IF(OR($A77="",$F77=""),"",$F77-Overview!$B$3)</f>
        <v/>
      </c>
    </row>
    <row r="78" spans="4:11" x14ac:dyDescent="0.25">
      <c r="D78" s="18" t="str">
        <f>IF($C78="","",IFERROR(INDEX(Clients!$B$5:$B$1000,MATCH($C78,Clients!$A$5:$A$1000,0)),"Unknown client ID"))</f>
        <v/>
      </c>
      <c r="E78" s="16"/>
      <c r="F78" s="16"/>
      <c r="G78" s="17"/>
      <c r="J78" s="12" t="str">
        <f>IF($A78="","",IF(COUNTIFS(Tasks!$B$5:$B$1000,$A78,Tasks!$A$5:$A$1000,"&lt;&gt;")=0,0,COUNTIFS(Tasks!$B$5:$B$1000,$A78,Tasks!$A$5:$A$1000,"&lt;&gt;",Tasks!$D$5:$D$1000,"Done")/COUNTIFS(Tasks!$B$5:$B$1000,$A78,Tasks!$A$5:$A$1000,"&lt;&gt;")))</f>
        <v/>
      </c>
      <c r="K78" s="11" t="str">
        <f>IF(OR($A78="",$F78=""),"",$F78-Overview!$B$3)</f>
        <v/>
      </c>
    </row>
    <row r="79" spans="4:11" x14ac:dyDescent="0.25">
      <c r="D79" s="18" t="str">
        <f>IF($C79="","",IFERROR(INDEX(Clients!$B$5:$B$1000,MATCH($C79,Clients!$A$5:$A$1000,0)),"Unknown client ID"))</f>
        <v/>
      </c>
      <c r="E79" s="16"/>
      <c r="F79" s="16"/>
      <c r="G79" s="17"/>
      <c r="J79" s="12" t="str">
        <f>IF($A79="","",IF(COUNTIFS(Tasks!$B$5:$B$1000,$A79,Tasks!$A$5:$A$1000,"&lt;&gt;")=0,0,COUNTIFS(Tasks!$B$5:$B$1000,$A79,Tasks!$A$5:$A$1000,"&lt;&gt;",Tasks!$D$5:$D$1000,"Done")/COUNTIFS(Tasks!$B$5:$B$1000,$A79,Tasks!$A$5:$A$1000,"&lt;&gt;")))</f>
        <v/>
      </c>
      <c r="K79" s="11" t="str">
        <f>IF(OR($A79="",$F79=""),"",$F79-Overview!$B$3)</f>
        <v/>
      </c>
    </row>
    <row r="80" spans="4:11" x14ac:dyDescent="0.25">
      <c r="D80" s="18" t="str">
        <f>IF($C80="","",IFERROR(INDEX(Clients!$B$5:$B$1000,MATCH($C80,Clients!$A$5:$A$1000,0)),"Unknown client ID"))</f>
        <v/>
      </c>
      <c r="E80" s="16"/>
      <c r="F80" s="16"/>
      <c r="G80" s="17"/>
      <c r="J80" s="12" t="str">
        <f>IF($A80="","",IF(COUNTIFS(Tasks!$B$5:$B$1000,$A80,Tasks!$A$5:$A$1000,"&lt;&gt;")=0,0,COUNTIFS(Tasks!$B$5:$B$1000,$A80,Tasks!$A$5:$A$1000,"&lt;&gt;",Tasks!$D$5:$D$1000,"Done")/COUNTIFS(Tasks!$B$5:$B$1000,$A80,Tasks!$A$5:$A$1000,"&lt;&gt;")))</f>
        <v/>
      </c>
      <c r="K80" s="11" t="str">
        <f>IF(OR($A80="",$F80=""),"",$F80-Overview!$B$3)</f>
        <v/>
      </c>
    </row>
    <row r="81" spans="4:11" x14ac:dyDescent="0.25">
      <c r="D81" s="18" t="str">
        <f>IF($C81="","",IFERROR(INDEX(Clients!$B$5:$B$1000,MATCH($C81,Clients!$A$5:$A$1000,0)),"Unknown client ID"))</f>
        <v/>
      </c>
      <c r="E81" s="16"/>
      <c r="F81" s="16"/>
      <c r="G81" s="17"/>
      <c r="J81" s="12" t="str">
        <f>IF($A81="","",IF(COUNTIFS(Tasks!$B$5:$B$1000,$A81,Tasks!$A$5:$A$1000,"&lt;&gt;")=0,0,COUNTIFS(Tasks!$B$5:$B$1000,$A81,Tasks!$A$5:$A$1000,"&lt;&gt;",Tasks!$D$5:$D$1000,"Done")/COUNTIFS(Tasks!$B$5:$B$1000,$A81,Tasks!$A$5:$A$1000,"&lt;&gt;")))</f>
        <v/>
      </c>
      <c r="K81" s="11" t="str">
        <f>IF(OR($A81="",$F81=""),"",$F81-Overview!$B$3)</f>
        <v/>
      </c>
    </row>
    <row r="82" spans="4:11" x14ac:dyDescent="0.25">
      <c r="D82" s="18" t="str">
        <f>IF($C82="","",IFERROR(INDEX(Clients!$B$5:$B$1000,MATCH($C82,Clients!$A$5:$A$1000,0)),"Unknown client ID"))</f>
        <v/>
      </c>
      <c r="E82" s="16"/>
      <c r="F82" s="16"/>
      <c r="G82" s="17"/>
      <c r="J82" s="12" t="str">
        <f>IF($A82="","",IF(COUNTIFS(Tasks!$B$5:$B$1000,$A82,Tasks!$A$5:$A$1000,"&lt;&gt;")=0,0,COUNTIFS(Tasks!$B$5:$B$1000,$A82,Tasks!$A$5:$A$1000,"&lt;&gt;",Tasks!$D$5:$D$1000,"Done")/COUNTIFS(Tasks!$B$5:$B$1000,$A82,Tasks!$A$5:$A$1000,"&lt;&gt;")))</f>
        <v/>
      </c>
      <c r="K82" s="11" t="str">
        <f>IF(OR($A82="",$F82=""),"",$F82-Overview!$B$3)</f>
        <v/>
      </c>
    </row>
    <row r="83" spans="4:11" x14ac:dyDescent="0.25">
      <c r="D83" s="18" t="str">
        <f>IF($C83="","",IFERROR(INDEX(Clients!$B$5:$B$1000,MATCH($C83,Clients!$A$5:$A$1000,0)),"Unknown client ID"))</f>
        <v/>
      </c>
      <c r="E83" s="16"/>
      <c r="F83" s="16"/>
      <c r="G83" s="17"/>
      <c r="J83" s="12" t="str">
        <f>IF($A83="","",IF(COUNTIFS(Tasks!$B$5:$B$1000,$A83,Tasks!$A$5:$A$1000,"&lt;&gt;")=0,0,COUNTIFS(Tasks!$B$5:$B$1000,$A83,Tasks!$A$5:$A$1000,"&lt;&gt;",Tasks!$D$5:$D$1000,"Done")/COUNTIFS(Tasks!$B$5:$B$1000,$A83,Tasks!$A$5:$A$1000,"&lt;&gt;")))</f>
        <v/>
      </c>
      <c r="K83" s="11" t="str">
        <f>IF(OR($A83="",$F83=""),"",$F83-Overview!$B$3)</f>
        <v/>
      </c>
    </row>
    <row r="84" spans="4:11" x14ac:dyDescent="0.25">
      <c r="D84" s="18" t="str">
        <f>IF($C84="","",IFERROR(INDEX(Clients!$B$5:$B$1000,MATCH($C84,Clients!$A$5:$A$1000,0)),"Unknown client ID"))</f>
        <v/>
      </c>
      <c r="E84" s="16"/>
      <c r="F84" s="16"/>
      <c r="G84" s="17"/>
      <c r="J84" s="12" t="str">
        <f>IF($A84="","",IF(COUNTIFS(Tasks!$B$5:$B$1000,$A84,Tasks!$A$5:$A$1000,"&lt;&gt;")=0,0,COUNTIFS(Tasks!$B$5:$B$1000,$A84,Tasks!$A$5:$A$1000,"&lt;&gt;",Tasks!$D$5:$D$1000,"Done")/COUNTIFS(Tasks!$B$5:$B$1000,$A84,Tasks!$A$5:$A$1000,"&lt;&gt;")))</f>
        <v/>
      </c>
      <c r="K84" s="11" t="str">
        <f>IF(OR($A84="",$F84=""),"",$F84-Overview!$B$3)</f>
        <v/>
      </c>
    </row>
    <row r="85" spans="4:11" x14ac:dyDescent="0.25">
      <c r="D85" s="18" t="str">
        <f>IF($C85="","",IFERROR(INDEX(Clients!$B$5:$B$1000,MATCH($C85,Clients!$A$5:$A$1000,0)),"Unknown client ID"))</f>
        <v/>
      </c>
      <c r="E85" s="16"/>
      <c r="F85" s="16"/>
      <c r="G85" s="17"/>
      <c r="J85" s="12" t="str">
        <f>IF($A85="","",IF(COUNTIFS(Tasks!$B$5:$B$1000,$A85,Tasks!$A$5:$A$1000,"&lt;&gt;")=0,0,COUNTIFS(Tasks!$B$5:$B$1000,$A85,Tasks!$A$5:$A$1000,"&lt;&gt;",Tasks!$D$5:$D$1000,"Done")/COUNTIFS(Tasks!$B$5:$B$1000,$A85,Tasks!$A$5:$A$1000,"&lt;&gt;")))</f>
        <v/>
      </c>
      <c r="K85" s="11" t="str">
        <f>IF(OR($A85="",$F85=""),"",$F85-Overview!$B$3)</f>
        <v/>
      </c>
    </row>
    <row r="86" spans="4:11" x14ac:dyDescent="0.25">
      <c r="D86" s="18" t="str">
        <f>IF($C86="","",IFERROR(INDEX(Clients!$B$5:$B$1000,MATCH($C86,Clients!$A$5:$A$1000,0)),"Unknown client ID"))</f>
        <v/>
      </c>
      <c r="E86" s="16"/>
      <c r="F86" s="16"/>
      <c r="G86" s="17"/>
      <c r="J86" s="12" t="str">
        <f>IF($A86="","",IF(COUNTIFS(Tasks!$B$5:$B$1000,$A86,Tasks!$A$5:$A$1000,"&lt;&gt;")=0,0,COUNTIFS(Tasks!$B$5:$B$1000,$A86,Tasks!$A$5:$A$1000,"&lt;&gt;",Tasks!$D$5:$D$1000,"Done")/COUNTIFS(Tasks!$B$5:$B$1000,$A86,Tasks!$A$5:$A$1000,"&lt;&gt;")))</f>
        <v/>
      </c>
      <c r="K86" s="11" t="str">
        <f>IF(OR($A86="",$F86=""),"",$F86-Overview!$B$3)</f>
        <v/>
      </c>
    </row>
    <row r="87" spans="4:11" x14ac:dyDescent="0.25">
      <c r="D87" s="18" t="str">
        <f>IF($C87="","",IFERROR(INDEX(Clients!$B$5:$B$1000,MATCH($C87,Clients!$A$5:$A$1000,0)),"Unknown client ID"))</f>
        <v/>
      </c>
      <c r="E87" s="16"/>
      <c r="F87" s="16"/>
      <c r="G87" s="17"/>
      <c r="J87" s="12" t="str">
        <f>IF($A87="","",IF(COUNTIFS(Tasks!$B$5:$B$1000,$A87,Tasks!$A$5:$A$1000,"&lt;&gt;")=0,0,COUNTIFS(Tasks!$B$5:$B$1000,$A87,Tasks!$A$5:$A$1000,"&lt;&gt;",Tasks!$D$5:$D$1000,"Done")/COUNTIFS(Tasks!$B$5:$B$1000,$A87,Tasks!$A$5:$A$1000,"&lt;&gt;")))</f>
        <v/>
      </c>
      <c r="K87" s="11" t="str">
        <f>IF(OR($A87="",$F87=""),"",$F87-Overview!$B$3)</f>
        <v/>
      </c>
    </row>
    <row r="88" spans="4:11" x14ac:dyDescent="0.25">
      <c r="D88" s="18" t="str">
        <f>IF($C88="","",IFERROR(INDEX(Clients!$B$5:$B$1000,MATCH($C88,Clients!$A$5:$A$1000,0)),"Unknown client ID"))</f>
        <v/>
      </c>
      <c r="E88" s="16"/>
      <c r="F88" s="16"/>
      <c r="G88" s="17"/>
      <c r="J88" s="12" t="str">
        <f>IF($A88="","",IF(COUNTIFS(Tasks!$B$5:$B$1000,$A88,Tasks!$A$5:$A$1000,"&lt;&gt;")=0,0,COUNTIFS(Tasks!$B$5:$B$1000,$A88,Tasks!$A$5:$A$1000,"&lt;&gt;",Tasks!$D$5:$D$1000,"Done")/COUNTIFS(Tasks!$B$5:$B$1000,$A88,Tasks!$A$5:$A$1000,"&lt;&gt;")))</f>
        <v/>
      </c>
      <c r="K88" s="11" t="str">
        <f>IF(OR($A88="",$F88=""),"",$F88-Overview!$B$3)</f>
        <v/>
      </c>
    </row>
    <row r="89" spans="4:11" x14ac:dyDescent="0.25">
      <c r="D89" s="18" t="str">
        <f>IF($C89="","",IFERROR(INDEX(Clients!$B$5:$B$1000,MATCH($C89,Clients!$A$5:$A$1000,0)),"Unknown client ID"))</f>
        <v/>
      </c>
      <c r="E89" s="16"/>
      <c r="F89" s="16"/>
      <c r="G89" s="17"/>
      <c r="J89" s="12" t="str">
        <f>IF($A89="","",IF(COUNTIFS(Tasks!$B$5:$B$1000,$A89,Tasks!$A$5:$A$1000,"&lt;&gt;")=0,0,COUNTIFS(Tasks!$B$5:$B$1000,$A89,Tasks!$A$5:$A$1000,"&lt;&gt;",Tasks!$D$5:$D$1000,"Done")/COUNTIFS(Tasks!$B$5:$B$1000,$A89,Tasks!$A$5:$A$1000,"&lt;&gt;")))</f>
        <v/>
      </c>
      <c r="K89" s="11" t="str">
        <f>IF(OR($A89="",$F89=""),"",$F89-Overview!$B$3)</f>
        <v/>
      </c>
    </row>
    <row r="90" spans="4:11" x14ac:dyDescent="0.25">
      <c r="D90" s="18" t="str">
        <f>IF($C90="","",IFERROR(INDEX(Clients!$B$5:$B$1000,MATCH($C90,Clients!$A$5:$A$1000,0)),"Unknown client ID"))</f>
        <v/>
      </c>
      <c r="E90" s="16"/>
      <c r="F90" s="16"/>
      <c r="G90" s="17"/>
      <c r="J90" s="12" t="str">
        <f>IF($A90="","",IF(COUNTIFS(Tasks!$B$5:$B$1000,$A90,Tasks!$A$5:$A$1000,"&lt;&gt;")=0,0,COUNTIFS(Tasks!$B$5:$B$1000,$A90,Tasks!$A$5:$A$1000,"&lt;&gt;",Tasks!$D$5:$D$1000,"Done")/COUNTIFS(Tasks!$B$5:$B$1000,$A90,Tasks!$A$5:$A$1000,"&lt;&gt;")))</f>
        <v/>
      </c>
      <c r="K90" s="11" t="str">
        <f>IF(OR($A90="",$F90=""),"",$F90-Overview!$B$3)</f>
        <v/>
      </c>
    </row>
    <row r="91" spans="4:11" x14ac:dyDescent="0.25">
      <c r="D91" s="18" t="str">
        <f>IF($C91="","",IFERROR(INDEX(Clients!$B$5:$B$1000,MATCH($C91,Clients!$A$5:$A$1000,0)),"Unknown client ID"))</f>
        <v/>
      </c>
      <c r="E91" s="16"/>
      <c r="F91" s="16"/>
      <c r="G91" s="17"/>
      <c r="J91" s="12" t="str">
        <f>IF($A91="","",IF(COUNTIFS(Tasks!$B$5:$B$1000,$A91,Tasks!$A$5:$A$1000,"&lt;&gt;")=0,0,COUNTIFS(Tasks!$B$5:$B$1000,$A91,Tasks!$A$5:$A$1000,"&lt;&gt;",Tasks!$D$5:$D$1000,"Done")/COUNTIFS(Tasks!$B$5:$B$1000,$A91,Tasks!$A$5:$A$1000,"&lt;&gt;")))</f>
        <v/>
      </c>
      <c r="K91" s="11" t="str">
        <f>IF(OR($A91="",$F91=""),"",$F91-Overview!$B$3)</f>
        <v/>
      </c>
    </row>
    <row r="92" spans="4:11" x14ac:dyDescent="0.25">
      <c r="D92" s="18" t="str">
        <f>IF($C92="","",IFERROR(INDEX(Clients!$B$5:$B$1000,MATCH($C92,Clients!$A$5:$A$1000,0)),"Unknown client ID"))</f>
        <v/>
      </c>
      <c r="E92" s="16"/>
      <c r="F92" s="16"/>
      <c r="G92" s="17"/>
      <c r="J92" s="12" t="str">
        <f>IF($A92="","",IF(COUNTIFS(Tasks!$B$5:$B$1000,$A92,Tasks!$A$5:$A$1000,"&lt;&gt;")=0,0,COUNTIFS(Tasks!$B$5:$B$1000,$A92,Tasks!$A$5:$A$1000,"&lt;&gt;",Tasks!$D$5:$D$1000,"Done")/COUNTIFS(Tasks!$B$5:$B$1000,$A92,Tasks!$A$5:$A$1000,"&lt;&gt;")))</f>
        <v/>
      </c>
      <c r="K92" s="11" t="str">
        <f>IF(OR($A92="",$F92=""),"",$F92-Overview!$B$3)</f>
        <v/>
      </c>
    </row>
    <row r="93" spans="4:11" x14ac:dyDescent="0.25">
      <c r="D93" s="18" t="str">
        <f>IF($C93="","",IFERROR(INDEX(Clients!$B$5:$B$1000,MATCH($C93,Clients!$A$5:$A$1000,0)),"Unknown client ID"))</f>
        <v/>
      </c>
      <c r="E93" s="16"/>
      <c r="F93" s="16"/>
      <c r="G93" s="17"/>
      <c r="J93" s="12" t="str">
        <f>IF($A93="","",IF(COUNTIFS(Tasks!$B$5:$B$1000,$A93,Tasks!$A$5:$A$1000,"&lt;&gt;")=0,0,COUNTIFS(Tasks!$B$5:$B$1000,$A93,Tasks!$A$5:$A$1000,"&lt;&gt;",Tasks!$D$5:$D$1000,"Done")/COUNTIFS(Tasks!$B$5:$B$1000,$A93,Tasks!$A$5:$A$1000,"&lt;&gt;")))</f>
        <v/>
      </c>
      <c r="K93" s="11" t="str">
        <f>IF(OR($A93="",$F93=""),"",$F93-Overview!$B$3)</f>
        <v/>
      </c>
    </row>
    <row r="94" spans="4:11" x14ac:dyDescent="0.25">
      <c r="D94" s="18" t="str">
        <f>IF($C94="","",IFERROR(INDEX(Clients!$B$5:$B$1000,MATCH($C94,Clients!$A$5:$A$1000,0)),"Unknown client ID"))</f>
        <v/>
      </c>
      <c r="E94" s="16"/>
      <c r="F94" s="16"/>
      <c r="G94" s="17"/>
      <c r="J94" s="12" t="str">
        <f>IF($A94="","",IF(COUNTIFS(Tasks!$B$5:$B$1000,$A94,Tasks!$A$5:$A$1000,"&lt;&gt;")=0,0,COUNTIFS(Tasks!$B$5:$B$1000,$A94,Tasks!$A$5:$A$1000,"&lt;&gt;",Tasks!$D$5:$D$1000,"Done")/COUNTIFS(Tasks!$B$5:$B$1000,$A94,Tasks!$A$5:$A$1000,"&lt;&gt;")))</f>
        <v/>
      </c>
      <c r="K94" s="11" t="str">
        <f>IF(OR($A94="",$F94=""),"",$F94-Overview!$B$3)</f>
        <v/>
      </c>
    </row>
    <row r="95" spans="4:11" x14ac:dyDescent="0.25">
      <c r="D95" s="18" t="str">
        <f>IF($C95="","",IFERROR(INDEX(Clients!$B$5:$B$1000,MATCH($C95,Clients!$A$5:$A$1000,0)),"Unknown client ID"))</f>
        <v/>
      </c>
      <c r="E95" s="16"/>
      <c r="F95" s="16"/>
      <c r="G95" s="17"/>
      <c r="J95" s="12" t="str">
        <f>IF($A95="","",IF(COUNTIFS(Tasks!$B$5:$B$1000,$A95,Tasks!$A$5:$A$1000,"&lt;&gt;")=0,0,COUNTIFS(Tasks!$B$5:$B$1000,$A95,Tasks!$A$5:$A$1000,"&lt;&gt;",Tasks!$D$5:$D$1000,"Done")/COUNTIFS(Tasks!$B$5:$B$1000,$A95,Tasks!$A$5:$A$1000,"&lt;&gt;")))</f>
        <v/>
      </c>
      <c r="K95" s="11" t="str">
        <f>IF(OR($A95="",$F95=""),"",$F95-Overview!$B$3)</f>
        <v/>
      </c>
    </row>
    <row r="96" spans="4:11" x14ac:dyDescent="0.25">
      <c r="D96" s="18" t="str">
        <f>IF($C96="","",IFERROR(INDEX(Clients!$B$5:$B$1000,MATCH($C96,Clients!$A$5:$A$1000,0)),"Unknown client ID"))</f>
        <v/>
      </c>
      <c r="E96" s="16"/>
      <c r="F96" s="16"/>
      <c r="G96" s="17"/>
      <c r="J96" s="12" t="str">
        <f>IF($A96="","",IF(COUNTIFS(Tasks!$B$5:$B$1000,$A96,Tasks!$A$5:$A$1000,"&lt;&gt;")=0,0,COUNTIFS(Tasks!$B$5:$B$1000,$A96,Tasks!$A$5:$A$1000,"&lt;&gt;",Tasks!$D$5:$D$1000,"Done")/COUNTIFS(Tasks!$B$5:$B$1000,$A96,Tasks!$A$5:$A$1000,"&lt;&gt;")))</f>
        <v/>
      </c>
      <c r="K96" s="11" t="str">
        <f>IF(OR($A96="",$F96=""),"",$F96-Overview!$B$3)</f>
        <v/>
      </c>
    </row>
    <row r="97" spans="4:11" x14ac:dyDescent="0.25">
      <c r="D97" s="18" t="str">
        <f>IF($C97="","",IFERROR(INDEX(Clients!$B$5:$B$1000,MATCH($C97,Clients!$A$5:$A$1000,0)),"Unknown client ID"))</f>
        <v/>
      </c>
      <c r="E97" s="16"/>
      <c r="F97" s="16"/>
      <c r="G97" s="17"/>
      <c r="J97" s="12" t="str">
        <f>IF($A97="","",IF(COUNTIFS(Tasks!$B$5:$B$1000,$A97,Tasks!$A$5:$A$1000,"&lt;&gt;")=0,0,COUNTIFS(Tasks!$B$5:$B$1000,$A97,Tasks!$A$5:$A$1000,"&lt;&gt;",Tasks!$D$5:$D$1000,"Done")/COUNTIFS(Tasks!$B$5:$B$1000,$A97,Tasks!$A$5:$A$1000,"&lt;&gt;")))</f>
        <v/>
      </c>
      <c r="K97" s="11" t="str">
        <f>IF(OR($A97="",$F97=""),"",$F97-Overview!$B$3)</f>
        <v/>
      </c>
    </row>
    <row r="98" spans="4:11" x14ac:dyDescent="0.25">
      <c r="D98" s="18" t="str">
        <f>IF($C98="","",IFERROR(INDEX(Clients!$B$5:$B$1000,MATCH($C98,Clients!$A$5:$A$1000,0)),"Unknown client ID"))</f>
        <v/>
      </c>
      <c r="E98" s="16"/>
      <c r="F98" s="16"/>
      <c r="G98" s="17"/>
      <c r="J98" s="12" t="str">
        <f>IF($A98="","",IF(COUNTIFS(Tasks!$B$5:$B$1000,$A98,Tasks!$A$5:$A$1000,"&lt;&gt;")=0,0,COUNTIFS(Tasks!$B$5:$B$1000,$A98,Tasks!$A$5:$A$1000,"&lt;&gt;",Tasks!$D$5:$D$1000,"Done")/COUNTIFS(Tasks!$B$5:$B$1000,$A98,Tasks!$A$5:$A$1000,"&lt;&gt;")))</f>
        <v/>
      </c>
      <c r="K98" s="11" t="str">
        <f>IF(OR($A98="",$F98=""),"",$F98-Overview!$B$3)</f>
        <v/>
      </c>
    </row>
    <row r="99" spans="4:11" x14ac:dyDescent="0.25">
      <c r="D99" s="18" t="str">
        <f>IF($C99="","",IFERROR(INDEX(Clients!$B$5:$B$1000,MATCH($C99,Clients!$A$5:$A$1000,0)),"Unknown client ID"))</f>
        <v/>
      </c>
      <c r="E99" s="16"/>
      <c r="F99" s="16"/>
      <c r="G99" s="17"/>
      <c r="J99" s="12" t="str">
        <f>IF($A99="","",IF(COUNTIFS(Tasks!$B$5:$B$1000,$A99,Tasks!$A$5:$A$1000,"&lt;&gt;")=0,0,COUNTIFS(Tasks!$B$5:$B$1000,$A99,Tasks!$A$5:$A$1000,"&lt;&gt;",Tasks!$D$5:$D$1000,"Done")/COUNTIFS(Tasks!$B$5:$B$1000,$A99,Tasks!$A$5:$A$1000,"&lt;&gt;")))</f>
        <v/>
      </c>
      <c r="K99" s="11" t="str">
        <f>IF(OR($A99="",$F99=""),"",$F99-Overview!$B$3)</f>
        <v/>
      </c>
    </row>
    <row r="100" spans="4:11" x14ac:dyDescent="0.25">
      <c r="D100" s="18" t="str">
        <f>IF($C100="","",IFERROR(INDEX(Clients!$B$5:$B$1000,MATCH($C100,Clients!$A$5:$A$1000,0)),"Unknown client ID"))</f>
        <v/>
      </c>
      <c r="E100" s="16"/>
      <c r="F100" s="16"/>
      <c r="G100" s="17"/>
      <c r="J100" s="12" t="str">
        <f>IF($A100="","",IF(COUNTIFS(Tasks!$B$5:$B$1000,$A100,Tasks!$A$5:$A$1000,"&lt;&gt;")=0,0,COUNTIFS(Tasks!$B$5:$B$1000,$A100,Tasks!$A$5:$A$1000,"&lt;&gt;",Tasks!$D$5:$D$1000,"Done")/COUNTIFS(Tasks!$B$5:$B$1000,$A100,Tasks!$A$5:$A$1000,"&lt;&gt;")))</f>
        <v/>
      </c>
      <c r="K100" s="11" t="str">
        <f>IF(OR($A100="",$F100=""),"",$F100-Overview!$B$3)</f>
        <v/>
      </c>
    </row>
    <row r="101" spans="4:11" x14ac:dyDescent="0.25">
      <c r="D101" s="18" t="str">
        <f>IF($C101="","",IFERROR(INDEX(Clients!$B$5:$B$1000,MATCH($C101,Clients!$A$5:$A$1000,0)),"Unknown client ID"))</f>
        <v/>
      </c>
      <c r="E101" s="16"/>
      <c r="F101" s="16"/>
      <c r="G101" s="17"/>
      <c r="J101" s="12" t="str">
        <f>IF($A101="","",IF(COUNTIFS(Tasks!$B$5:$B$1000,$A101,Tasks!$A$5:$A$1000,"&lt;&gt;")=0,0,COUNTIFS(Tasks!$B$5:$B$1000,$A101,Tasks!$A$5:$A$1000,"&lt;&gt;",Tasks!$D$5:$D$1000,"Done")/COUNTIFS(Tasks!$B$5:$B$1000,$A101,Tasks!$A$5:$A$1000,"&lt;&gt;")))</f>
        <v/>
      </c>
      <c r="K101" s="11" t="str">
        <f>IF(OR($A101="",$F101=""),"",$F101-Overview!$B$3)</f>
        <v/>
      </c>
    </row>
    <row r="102" spans="4:11" x14ac:dyDescent="0.25">
      <c r="D102" s="18" t="str">
        <f>IF($C102="","",IFERROR(INDEX(Clients!$B$5:$B$1000,MATCH($C102,Clients!$A$5:$A$1000,0)),"Unknown client ID"))</f>
        <v/>
      </c>
      <c r="E102" s="16"/>
      <c r="F102" s="16"/>
      <c r="G102" s="17"/>
      <c r="J102" s="12" t="str">
        <f>IF($A102="","",IF(COUNTIFS(Tasks!$B$5:$B$1000,$A102,Tasks!$A$5:$A$1000,"&lt;&gt;")=0,0,COUNTIFS(Tasks!$B$5:$B$1000,$A102,Tasks!$A$5:$A$1000,"&lt;&gt;",Tasks!$D$5:$D$1000,"Done")/COUNTIFS(Tasks!$B$5:$B$1000,$A102,Tasks!$A$5:$A$1000,"&lt;&gt;")))</f>
        <v/>
      </c>
      <c r="K102" s="11" t="str">
        <f>IF(OR($A102="",$F102=""),"",$F102-Overview!$B$3)</f>
        <v/>
      </c>
    </row>
    <row r="103" spans="4:11" x14ac:dyDescent="0.25">
      <c r="D103" s="18" t="str">
        <f>IF($C103="","",IFERROR(INDEX(Clients!$B$5:$B$1000,MATCH($C103,Clients!$A$5:$A$1000,0)),"Unknown client ID"))</f>
        <v/>
      </c>
      <c r="E103" s="16"/>
      <c r="F103" s="16"/>
      <c r="G103" s="17"/>
      <c r="J103" s="12" t="str">
        <f>IF($A103="","",IF(COUNTIFS(Tasks!$B$5:$B$1000,$A103,Tasks!$A$5:$A$1000,"&lt;&gt;")=0,0,COUNTIFS(Tasks!$B$5:$B$1000,$A103,Tasks!$A$5:$A$1000,"&lt;&gt;",Tasks!$D$5:$D$1000,"Done")/COUNTIFS(Tasks!$B$5:$B$1000,$A103,Tasks!$A$5:$A$1000,"&lt;&gt;")))</f>
        <v/>
      </c>
      <c r="K103" s="11" t="str">
        <f>IF(OR($A103="",$F103=""),"",$F103-Overview!$B$3)</f>
        <v/>
      </c>
    </row>
    <row r="104" spans="4:11" x14ac:dyDescent="0.25">
      <c r="D104" s="18" t="str">
        <f>IF($C104="","",IFERROR(INDEX(Clients!$B$5:$B$1000,MATCH($C104,Clients!$A$5:$A$1000,0)),"Unknown client ID"))</f>
        <v/>
      </c>
      <c r="E104" s="16"/>
      <c r="F104" s="16"/>
      <c r="G104" s="17"/>
      <c r="J104" s="12" t="str">
        <f>IF($A104="","",IF(COUNTIFS(Tasks!$B$5:$B$1000,$A104,Tasks!$A$5:$A$1000,"&lt;&gt;")=0,0,COUNTIFS(Tasks!$B$5:$B$1000,$A104,Tasks!$A$5:$A$1000,"&lt;&gt;",Tasks!$D$5:$D$1000,"Done")/COUNTIFS(Tasks!$B$5:$B$1000,$A104,Tasks!$A$5:$A$1000,"&lt;&gt;")))</f>
        <v/>
      </c>
      <c r="K104" s="11" t="str">
        <f>IF(OR($A104="",$F104=""),"",$F104-Overview!$B$3)</f>
        <v/>
      </c>
    </row>
    <row r="105" spans="4:11" x14ac:dyDescent="0.25">
      <c r="D105" s="18" t="str">
        <f>IF($C105="","",IFERROR(INDEX(Clients!$B$5:$B$1000,MATCH($C105,Clients!$A$5:$A$1000,0)),"Unknown client ID"))</f>
        <v/>
      </c>
      <c r="E105" s="16"/>
      <c r="F105" s="16"/>
      <c r="G105" s="17"/>
      <c r="J105" s="12" t="str">
        <f>IF($A105="","",IF(COUNTIFS(Tasks!$B$5:$B$1000,$A105,Tasks!$A$5:$A$1000,"&lt;&gt;")=0,0,COUNTIFS(Tasks!$B$5:$B$1000,$A105,Tasks!$A$5:$A$1000,"&lt;&gt;",Tasks!$D$5:$D$1000,"Done")/COUNTIFS(Tasks!$B$5:$B$1000,$A105,Tasks!$A$5:$A$1000,"&lt;&gt;")))</f>
        <v/>
      </c>
      <c r="K105" s="11" t="str">
        <f>IF(OR($A105="",$F105=""),"",$F105-Overview!$B$3)</f>
        <v/>
      </c>
    </row>
    <row r="106" spans="4:11" x14ac:dyDescent="0.25">
      <c r="D106" s="18" t="str">
        <f>IF($C106="","",IFERROR(INDEX(Clients!$B$5:$B$1000,MATCH($C106,Clients!$A$5:$A$1000,0)),"Unknown client ID"))</f>
        <v/>
      </c>
      <c r="E106" s="16"/>
      <c r="F106" s="16"/>
      <c r="G106" s="17"/>
      <c r="J106" s="12" t="str">
        <f>IF($A106="","",IF(COUNTIFS(Tasks!$B$5:$B$1000,$A106,Tasks!$A$5:$A$1000,"&lt;&gt;")=0,0,COUNTIFS(Tasks!$B$5:$B$1000,$A106,Tasks!$A$5:$A$1000,"&lt;&gt;",Tasks!$D$5:$D$1000,"Done")/COUNTIFS(Tasks!$B$5:$B$1000,$A106,Tasks!$A$5:$A$1000,"&lt;&gt;")))</f>
        <v/>
      </c>
      <c r="K106" s="11" t="str">
        <f>IF(OR($A106="",$F106=""),"",$F106-Overview!$B$3)</f>
        <v/>
      </c>
    </row>
    <row r="107" spans="4:11" x14ac:dyDescent="0.25">
      <c r="D107" s="18" t="str">
        <f>IF($C107="","",IFERROR(INDEX(Clients!$B$5:$B$1000,MATCH($C107,Clients!$A$5:$A$1000,0)),"Unknown client ID"))</f>
        <v/>
      </c>
      <c r="E107" s="16"/>
      <c r="F107" s="16"/>
      <c r="G107" s="17"/>
      <c r="J107" s="12" t="str">
        <f>IF($A107="","",IF(COUNTIFS(Tasks!$B$5:$B$1000,$A107,Tasks!$A$5:$A$1000,"&lt;&gt;")=0,0,COUNTIFS(Tasks!$B$5:$B$1000,$A107,Tasks!$A$5:$A$1000,"&lt;&gt;",Tasks!$D$5:$D$1000,"Done")/COUNTIFS(Tasks!$B$5:$B$1000,$A107,Tasks!$A$5:$A$1000,"&lt;&gt;")))</f>
        <v/>
      </c>
      <c r="K107" s="11" t="str">
        <f>IF(OR($A107="",$F107=""),"",$F107-Overview!$B$3)</f>
        <v/>
      </c>
    </row>
    <row r="108" spans="4:11" x14ac:dyDescent="0.25">
      <c r="D108" s="18" t="str">
        <f>IF($C108="","",IFERROR(INDEX(Clients!$B$5:$B$1000,MATCH($C108,Clients!$A$5:$A$1000,0)),"Unknown client ID"))</f>
        <v/>
      </c>
      <c r="E108" s="16"/>
      <c r="F108" s="16"/>
      <c r="G108" s="17"/>
      <c r="J108" s="12" t="str">
        <f>IF($A108="","",IF(COUNTIFS(Tasks!$B$5:$B$1000,$A108,Tasks!$A$5:$A$1000,"&lt;&gt;")=0,0,COUNTIFS(Tasks!$B$5:$B$1000,$A108,Tasks!$A$5:$A$1000,"&lt;&gt;",Tasks!$D$5:$D$1000,"Done")/COUNTIFS(Tasks!$B$5:$B$1000,$A108,Tasks!$A$5:$A$1000,"&lt;&gt;")))</f>
        <v/>
      </c>
      <c r="K108" s="11" t="str">
        <f>IF(OR($A108="",$F108=""),"",$F108-Overview!$B$3)</f>
        <v/>
      </c>
    </row>
    <row r="109" spans="4:11" x14ac:dyDescent="0.25">
      <c r="D109" s="18" t="str">
        <f>IF($C109="","",IFERROR(INDEX(Clients!$B$5:$B$1000,MATCH($C109,Clients!$A$5:$A$1000,0)),"Unknown client ID"))</f>
        <v/>
      </c>
      <c r="E109" s="16"/>
      <c r="F109" s="16"/>
      <c r="G109" s="17"/>
      <c r="J109" s="12" t="str">
        <f>IF($A109="","",IF(COUNTIFS(Tasks!$B$5:$B$1000,$A109,Tasks!$A$5:$A$1000,"&lt;&gt;")=0,0,COUNTIFS(Tasks!$B$5:$B$1000,$A109,Tasks!$A$5:$A$1000,"&lt;&gt;",Tasks!$D$5:$D$1000,"Done")/COUNTIFS(Tasks!$B$5:$B$1000,$A109,Tasks!$A$5:$A$1000,"&lt;&gt;")))</f>
        <v/>
      </c>
      <c r="K109" s="11" t="str">
        <f>IF(OR($A109="",$F109=""),"",$F109-Overview!$B$3)</f>
        <v/>
      </c>
    </row>
    <row r="110" spans="4:11" x14ac:dyDescent="0.25">
      <c r="D110" s="18" t="str">
        <f>IF($C110="","",IFERROR(INDEX(Clients!$B$5:$B$1000,MATCH($C110,Clients!$A$5:$A$1000,0)),"Unknown client ID"))</f>
        <v/>
      </c>
      <c r="E110" s="16"/>
      <c r="F110" s="16"/>
      <c r="G110" s="17"/>
      <c r="J110" s="12" t="str">
        <f>IF($A110="","",IF(COUNTIFS(Tasks!$B$5:$B$1000,$A110,Tasks!$A$5:$A$1000,"&lt;&gt;")=0,0,COUNTIFS(Tasks!$B$5:$B$1000,$A110,Tasks!$A$5:$A$1000,"&lt;&gt;",Tasks!$D$5:$D$1000,"Done")/COUNTIFS(Tasks!$B$5:$B$1000,$A110,Tasks!$A$5:$A$1000,"&lt;&gt;")))</f>
        <v/>
      </c>
      <c r="K110" s="11" t="str">
        <f>IF(OR($A110="",$F110=""),"",$F110-Overview!$B$3)</f>
        <v/>
      </c>
    </row>
    <row r="111" spans="4:11" x14ac:dyDescent="0.25">
      <c r="D111" s="18" t="str">
        <f>IF($C111="","",IFERROR(INDEX(Clients!$B$5:$B$1000,MATCH($C111,Clients!$A$5:$A$1000,0)),"Unknown client ID"))</f>
        <v/>
      </c>
      <c r="E111" s="16"/>
      <c r="F111" s="16"/>
      <c r="G111" s="17"/>
      <c r="J111" s="12" t="str">
        <f>IF($A111="","",IF(COUNTIFS(Tasks!$B$5:$B$1000,$A111,Tasks!$A$5:$A$1000,"&lt;&gt;")=0,0,COUNTIFS(Tasks!$B$5:$B$1000,$A111,Tasks!$A$5:$A$1000,"&lt;&gt;",Tasks!$D$5:$D$1000,"Done")/COUNTIFS(Tasks!$B$5:$B$1000,$A111,Tasks!$A$5:$A$1000,"&lt;&gt;")))</f>
        <v/>
      </c>
      <c r="K111" s="11" t="str">
        <f>IF(OR($A111="",$F111=""),"",$F111-Overview!$B$3)</f>
        <v/>
      </c>
    </row>
    <row r="112" spans="4:11" x14ac:dyDescent="0.25">
      <c r="D112" s="18" t="str">
        <f>IF($C112="","",IFERROR(INDEX(Clients!$B$5:$B$1000,MATCH($C112,Clients!$A$5:$A$1000,0)),"Unknown client ID"))</f>
        <v/>
      </c>
      <c r="E112" s="16"/>
      <c r="F112" s="16"/>
      <c r="G112" s="17"/>
      <c r="J112" s="12" t="str">
        <f>IF($A112="","",IF(COUNTIFS(Tasks!$B$5:$B$1000,$A112,Tasks!$A$5:$A$1000,"&lt;&gt;")=0,0,COUNTIFS(Tasks!$B$5:$B$1000,$A112,Tasks!$A$5:$A$1000,"&lt;&gt;",Tasks!$D$5:$D$1000,"Done")/COUNTIFS(Tasks!$B$5:$B$1000,$A112,Tasks!$A$5:$A$1000,"&lt;&gt;")))</f>
        <v/>
      </c>
      <c r="K112" s="11" t="str">
        <f>IF(OR($A112="",$F112=""),"",$F112-Overview!$B$3)</f>
        <v/>
      </c>
    </row>
    <row r="113" spans="4:11" x14ac:dyDescent="0.25">
      <c r="D113" s="18" t="str">
        <f>IF($C113="","",IFERROR(INDEX(Clients!$B$5:$B$1000,MATCH($C113,Clients!$A$5:$A$1000,0)),"Unknown client ID"))</f>
        <v/>
      </c>
      <c r="E113" s="16"/>
      <c r="F113" s="16"/>
      <c r="G113" s="17"/>
      <c r="J113" s="12" t="str">
        <f>IF($A113="","",IF(COUNTIFS(Tasks!$B$5:$B$1000,$A113,Tasks!$A$5:$A$1000,"&lt;&gt;")=0,0,COUNTIFS(Tasks!$B$5:$B$1000,$A113,Tasks!$A$5:$A$1000,"&lt;&gt;",Tasks!$D$5:$D$1000,"Done")/COUNTIFS(Tasks!$B$5:$B$1000,$A113,Tasks!$A$5:$A$1000,"&lt;&gt;")))</f>
        <v/>
      </c>
      <c r="K113" s="11" t="str">
        <f>IF(OR($A113="",$F113=""),"",$F113-Overview!$B$3)</f>
        <v/>
      </c>
    </row>
    <row r="114" spans="4:11" x14ac:dyDescent="0.25">
      <c r="D114" s="18" t="str">
        <f>IF($C114="","",IFERROR(INDEX(Clients!$B$5:$B$1000,MATCH($C114,Clients!$A$5:$A$1000,0)),"Unknown client ID"))</f>
        <v/>
      </c>
      <c r="E114" s="16"/>
      <c r="F114" s="16"/>
      <c r="G114" s="17"/>
      <c r="J114" s="12" t="str">
        <f>IF($A114="","",IF(COUNTIFS(Tasks!$B$5:$B$1000,$A114,Tasks!$A$5:$A$1000,"&lt;&gt;")=0,0,COUNTIFS(Tasks!$B$5:$B$1000,$A114,Tasks!$A$5:$A$1000,"&lt;&gt;",Tasks!$D$5:$D$1000,"Done")/COUNTIFS(Tasks!$B$5:$B$1000,$A114,Tasks!$A$5:$A$1000,"&lt;&gt;")))</f>
        <v/>
      </c>
      <c r="K114" s="11" t="str">
        <f>IF(OR($A114="",$F114=""),"",$F114-Overview!$B$3)</f>
        <v/>
      </c>
    </row>
    <row r="115" spans="4:11" x14ac:dyDescent="0.25">
      <c r="D115" s="18" t="str">
        <f>IF($C115="","",IFERROR(INDEX(Clients!$B$5:$B$1000,MATCH($C115,Clients!$A$5:$A$1000,0)),"Unknown client ID"))</f>
        <v/>
      </c>
      <c r="E115" s="16"/>
      <c r="F115" s="16"/>
      <c r="G115" s="17"/>
      <c r="J115" s="12" t="str">
        <f>IF($A115="","",IF(COUNTIFS(Tasks!$B$5:$B$1000,$A115,Tasks!$A$5:$A$1000,"&lt;&gt;")=0,0,COUNTIFS(Tasks!$B$5:$B$1000,$A115,Tasks!$A$5:$A$1000,"&lt;&gt;",Tasks!$D$5:$D$1000,"Done")/COUNTIFS(Tasks!$B$5:$B$1000,$A115,Tasks!$A$5:$A$1000,"&lt;&gt;")))</f>
        <v/>
      </c>
      <c r="K115" s="11" t="str">
        <f>IF(OR($A115="",$F115=""),"",$F115-Overview!$B$3)</f>
        <v/>
      </c>
    </row>
    <row r="116" spans="4:11" x14ac:dyDescent="0.25">
      <c r="D116" s="18" t="str">
        <f>IF($C116="","",IFERROR(INDEX(Clients!$B$5:$B$1000,MATCH($C116,Clients!$A$5:$A$1000,0)),"Unknown client ID"))</f>
        <v/>
      </c>
      <c r="E116" s="16"/>
      <c r="F116" s="16"/>
      <c r="G116" s="17"/>
      <c r="J116" s="12" t="str">
        <f>IF($A116="","",IF(COUNTIFS(Tasks!$B$5:$B$1000,$A116,Tasks!$A$5:$A$1000,"&lt;&gt;")=0,0,COUNTIFS(Tasks!$B$5:$B$1000,$A116,Tasks!$A$5:$A$1000,"&lt;&gt;",Tasks!$D$5:$D$1000,"Done")/COUNTIFS(Tasks!$B$5:$B$1000,$A116,Tasks!$A$5:$A$1000,"&lt;&gt;")))</f>
        <v/>
      </c>
      <c r="K116" s="11" t="str">
        <f>IF(OR($A116="",$F116=""),"",$F116-Overview!$B$3)</f>
        <v/>
      </c>
    </row>
    <row r="117" spans="4:11" x14ac:dyDescent="0.25">
      <c r="D117" s="18" t="str">
        <f>IF($C117="","",IFERROR(INDEX(Clients!$B$5:$B$1000,MATCH($C117,Clients!$A$5:$A$1000,0)),"Unknown client ID"))</f>
        <v/>
      </c>
      <c r="E117" s="16"/>
      <c r="F117" s="16"/>
      <c r="G117" s="17"/>
      <c r="J117" s="12" t="str">
        <f>IF($A117="","",IF(COUNTIFS(Tasks!$B$5:$B$1000,$A117,Tasks!$A$5:$A$1000,"&lt;&gt;")=0,0,COUNTIFS(Tasks!$B$5:$B$1000,$A117,Tasks!$A$5:$A$1000,"&lt;&gt;",Tasks!$D$5:$D$1000,"Done")/COUNTIFS(Tasks!$B$5:$B$1000,$A117,Tasks!$A$5:$A$1000,"&lt;&gt;")))</f>
        <v/>
      </c>
      <c r="K117" s="11" t="str">
        <f>IF(OR($A117="",$F117=""),"",$F117-Overview!$B$3)</f>
        <v/>
      </c>
    </row>
    <row r="118" spans="4:11" x14ac:dyDescent="0.25">
      <c r="D118" s="18" t="str">
        <f>IF($C118="","",IFERROR(INDEX(Clients!$B$5:$B$1000,MATCH($C118,Clients!$A$5:$A$1000,0)),"Unknown client ID"))</f>
        <v/>
      </c>
      <c r="E118" s="16"/>
      <c r="F118" s="16"/>
      <c r="G118" s="17"/>
      <c r="J118" s="12" t="str">
        <f>IF($A118="","",IF(COUNTIFS(Tasks!$B$5:$B$1000,$A118,Tasks!$A$5:$A$1000,"&lt;&gt;")=0,0,COUNTIFS(Tasks!$B$5:$B$1000,$A118,Tasks!$A$5:$A$1000,"&lt;&gt;",Tasks!$D$5:$D$1000,"Done")/COUNTIFS(Tasks!$B$5:$B$1000,$A118,Tasks!$A$5:$A$1000,"&lt;&gt;")))</f>
        <v/>
      </c>
      <c r="K118" s="11" t="str">
        <f>IF(OR($A118="",$F118=""),"",$F118-Overview!$B$3)</f>
        <v/>
      </c>
    </row>
    <row r="119" spans="4:11" x14ac:dyDescent="0.25">
      <c r="D119" s="18" t="str">
        <f>IF($C119="","",IFERROR(INDEX(Clients!$B$5:$B$1000,MATCH($C119,Clients!$A$5:$A$1000,0)),"Unknown client ID"))</f>
        <v/>
      </c>
      <c r="E119" s="16"/>
      <c r="F119" s="16"/>
      <c r="G119" s="17"/>
      <c r="J119" s="12" t="str">
        <f>IF($A119="","",IF(COUNTIFS(Tasks!$B$5:$B$1000,$A119,Tasks!$A$5:$A$1000,"&lt;&gt;")=0,0,COUNTIFS(Tasks!$B$5:$B$1000,$A119,Tasks!$A$5:$A$1000,"&lt;&gt;",Tasks!$D$5:$D$1000,"Done")/COUNTIFS(Tasks!$B$5:$B$1000,$A119,Tasks!$A$5:$A$1000,"&lt;&gt;")))</f>
        <v/>
      </c>
      <c r="K119" s="11" t="str">
        <f>IF(OR($A119="",$F119=""),"",$F119-Overview!$B$3)</f>
        <v/>
      </c>
    </row>
    <row r="120" spans="4:11" x14ac:dyDescent="0.25">
      <c r="D120" s="18" t="str">
        <f>IF($C120="","",IFERROR(INDEX(Clients!$B$5:$B$1000,MATCH($C120,Clients!$A$5:$A$1000,0)),"Unknown client ID"))</f>
        <v/>
      </c>
      <c r="E120" s="16"/>
      <c r="F120" s="16"/>
      <c r="G120" s="17"/>
      <c r="J120" s="12" t="str">
        <f>IF($A120="","",IF(COUNTIFS(Tasks!$B$5:$B$1000,$A120,Tasks!$A$5:$A$1000,"&lt;&gt;")=0,0,COUNTIFS(Tasks!$B$5:$B$1000,$A120,Tasks!$A$5:$A$1000,"&lt;&gt;",Tasks!$D$5:$D$1000,"Done")/COUNTIFS(Tasks!$B$5:$B$1000,$A120,Tasks!$A$5:$A$1000,"&lt;&gt;")))</f>
        <v/>
      </c>
      <c r="K120" s="11" t="str">
        <f>IF(OR($A120="",$F120=""),"",$F120-Overview!$B$3)</f>
        <v/>
      </c>
    </row>
    <row r="121" spans="4:11" x14ac:dyDescent="0.25">
      <c r="D121" s="18" t="str">
        <f>IF($C121="","",IFERROR(INDEX(Clients!$B$5:$B$1000,MATCH($C121,Clients!$A$5:$A$1000,0)),"Unknown client ID"))</f>
        <v/>
      </c>
      <c r="E121" s="16"/>
      <c r="F121" s="16"/>
      <c r="G121" s="17"/>
      <c r="J121" s="12" t="str">
        <f>IF($A121="","",IF(COUNTIFS(Tasks!$B$5:$B$1000,$A121,Tasks!$A$5:$A$1000,"&lt;&gt;")=0,0,COUNTIFS(Tasks!$B$5:$B$1000,$A121,Tasks!$A$5:$A$1000,"&lt;&gt;",Tasks!$D$5:$D$1000,"Done")/COUNTIFS(Tasks!$B$5:$B$1000,$A121,Tasks!$A$5:$A$1000,"&lt;&gt;")))</f>
        <v/>
      </c>
      <c r="K121" s="11" t="str">
        <f>IF(OR($A121="",$F121=""),"",$F121-Overview!$B$3)</f>
        <v/>
      </c>
    </row>
    <row r="122" spans="4:11" x14ac:dyDescent="0.25">
      <c r="D122" s="18" t="str">
        <f>IF($C122="","",IFERROR(INDEX(Clients!$B$5:$B$1000,MATCH($C122,Clients!$A$5:$A$1000,0)),"Unknown client ID"))</f>
        <v/>
      </c>
      <c r="E122" s="16"/>
      <c r="F122" s="16"/>
      <c r="G122" s="17"/>
      <c r="J122" s="12" t="str">
        <f>IF($A122="","",IF(COUNTIFS(Tasks!$B$5:$B$1000,$A122,Tasks!$A$5:$A$1000,"&lt;&gt;")=0,0,COUNTIFS(Tasks!$B$5:$B$1000,$A122,Tasks!$A$5:$A$1000,"&lt;&gt;",Tasks!$D$5:$D$1000,"Done")/COUNTIFS(Tasks!$B$5:$B$1000,$A122,Tasks!$A$5:$A$1000,"&lt;&gt;")))</f>
        <v/>
      </c>
      <c r="K122" s="11" t="str">
        <f>IF(OR($A122="",$F122=""),"",$F122-Overview!$B$3)</f>
        <v/>
      </c>
    </row>
    <row r="123" spans="4:11" x14ac:dyDescent="0.25">
      <c r="D123" s="18" t="str">
        <f>IF($C123="","",IFERROR(INDEX(Clients!$B$5:$B$1000,MATCH($C123,Clients!$A$5:$A$1000,0)),"Unknown client ID"))</f>
        <v/>
      </c>
      <c r="E123" s="16"/>
      <c r="F123" s="16"/>
      <c r="G123" s="17"/>
      <c r="J123" s="12" t="str">
        <f>IF($A123="","",IF(COUNTIFS(Tasks!$B$5:$B$1000,$A123,Tasks!$A$5:$A$1000,"&lt;&gt;")=0,0,COUNTIFS(Tasks!$B$5:$B$1000,$A123,Tasks!$A$5:$A$1000,"&lt;&gt;",Tasks!$D$5:$D$1000,"Done")/COUNTIFS(Tasks!$B$5:$B$1000,$A123,Tasks!$A$5:$A$1000,"&lt;&gt;")))</f>
        <v/>
      </c>
      <c r="K123" s="11" t="str">
        <f>IF(OR($A123="",$F123=""),"",$F123-Overview!$B$3)</f>
        <v/>
      </c>
    </row>
    <row r="124" spans="4:11" x14ac:dyDescent="0.25">
      <c r="D124" s="18" t="str">
        <f>IF($C124="","",IFERROR(INDEX(Clients!$B$5:$B$1000,MATCH($C124,Clients!$A$5:$A$1000,0)),"Unknown client ID"))</f>
        <v/>
      </c>
      <c r="E124" s="16"/>
      <c r="F124" s="16"/>
      <c r="G124" s="17"/>
      <c r="J124" s="12" t="str">
        <f>IF($A124="","",IF(COUNTIFS(Tasks!$B$5:$B$1000,$A124,Tasks!$A$5:$A$1000,"&lt;&gt;")=0,0,COUNTIFS(Tasks!$B$5:$B$1000,$A124,Tasks!$A$5:$A$1000,"&lt;&gt;",Tasks!$D$5:$D$1000,"Done")/COUNTIFS(Tasks!$B$5:$B$1000,$A124,Tasks!$A$5:$A$1000,"&lt;&gt;")))</f>
        <v/>
      </c>
      <c r="K124" s="11" t="str">
        <f>IF(OR($A124="",$F124=""),"",$F124-Overview!$B$3)</f>
        <v/>
      </c>
    </row>
    <row r="125" spans="4:11" x14ac:dyDescent="0.25">
      <c r="D125" s="18" t="str">
        <f>IF($C125="","",IFERROR(INDEX(Clients!$B$5:$B$1000,MATCH($C125,Clients!$A$5:$A$1000,0)),"Unknown client ID"))</f>
        <v/>
      </c>
      <c r="E125" s="16"/>
      <c r="F125" s="16"/>
      <c r="G125" s="17"/>
      <c r="J125" s="12" t="str">
        <f>IF($A125="","",IF(COUNTIFS(Tasks!$B$5:$B$1000,$A125,Tasks!$A$5:$A$1000,"&lt;&gt;")=0,0,COUNTIFS(Tasks!$B$5:$B$1000,$A125,Tasks!$A$5:$A$1000,"&lt;&gt;",Tasks!$D$5:$D$1000,"Done")/COUNTIFS(Tasks!$B$5:$B$1000,$A125,Tasks!$A$5:$A$1000,"&lt;&gt;")))</f>
        <v/>
      </c>
      <c r="K125" s="11" t="str">
        <f>IF(OR($A125="",$F125=""),"",$F125-Overview!$B$3)</f>
        <v/>
      </c>
    </row>
    <row r="126" spans="4:11" x14ac:dyDescent="0.25">
      <c r="D126" s="18" t="str">
        <f>IF($C126="","",IFERROR(INDEX(Clients!$B$5:$B$1000,MATCH($C126,Clients!$A$5:$A$1000,0)),"Unknown client ID"))</f>
        <v/>
      </c>
      <c r="E126" s="16"/>
      <c r="F126" s="16"/>
      <c r="G126" s="17"/>
      <c r="J126" s="12" t="str">
        <f>IF($A126="","",IF(COUNTIFS(Tasks!$B$5:$B$1000,$A126,Tasks!$A$5:$A$1000,"&lt;&gt;")=0,0,COUNTIFS(Tasks!$B$5:$B$1000,$A126,Tasks!$A$5:$A$1000,"&lt;&gt;",Tasks!$D$5:$D$1000,"Done")/COUNTIFS(Tasks!$B$5:$B$1000,$A126,Tasks!$A$5:$A$1000,"&lt;&gt;")))</f>
        <v/>
      </c>
      <c r="K126" s="11" t="str">
        <f>IF(OR($A126="",$F126=""),"",$F126-Overview!$B$3)</f>
        <v/>
      </c>
    </row>
    <row r="127" spans="4:11" x14ac:dyDescent="0.25">
      <c r="D127" s="18" t="str">
        <f>IF($C127="","",IFERROR(INDEX(Clients!$B$5:$B$1000,MATCH($C127,Clients!$A$5:$A$1000,0)),"Unknown client ID"))</f>
        <v/>
      </c>
      <c r="E127" s="16"/>
      <c r="F127" s="16"/>
      <c r="G127" s="17"/>
      <c r="J127" s="12" t="str">
        <f>IF($A127="","",IF(COUNTIFS(Tasks!$B$5:$B$1000,$A127,Tasks!$A$5:$A$1000,"&lt;&gt;")=0,0,COUNTIFS(Tasks!$B$5:$B$1000,$A127,Tasks!$A$5:$A$1000,"&lt;&gt;",Tasks!$D$5:$D$1000,"Done")/COUNTIFS(Tasks!$B$5:$B$1000,$A127,Tasks!$A$5:$A$1000,"&lt;&gt;")))</f>
        <v/>
      </c>
      <c r="K127" s="11" t="str">
        <f>IF(OR($A127="",$F127=""),"",$F127-Overview!$B$3)</f>
        <v/>
      </c>
    </row>
    <row r="128" spans="4:11" x14ac:dyDescent="0.25">
      <c r="D128" s="18" t="str">
        <f>IF($C128="","",IFERROR(INDEX(Clients!$B$5:$B$1000,MATCH($C128,Clients!$A$5:$A$1000,0)),"Unknown client ID"))</f>
        <v/>
      </c>
      <c r="E128" s="16"/>
      <c r="F128" s="16"/>
      <c r="G128" s="17"/>
      <c r="J128" s="12" t="str">
        <f>IF($A128="","",IF(COUNTIFS(Tasks!$B$5:$B$1000,$A128,Tasks!$A$5:$A$1000,"&lt;&gt;")=0,0,COUNTIFS(Tasks!$B$5:$B$1000,$A128,Tasks!$A$5:$A$1000,"&lt;&gt;",Tasks!$D$5:$D$1000,"Done")/COUNTIFS(Tasks!$B$5:$B$1000,$A128,Tasks!$A$5:$A$1000,"&lt;&gt;")))</f>
        <v/>
      </c>
      <c r="K128" s="11" t="str">
        <f>IF(OR($A128="",$F128=""),"",$F128-Overview!$B$3)</f>
        <v/>
      </c>
    </row>
    <row r="129" spans="4:11" x14ac:dyDescent="0.25">
      <c r="D129" s="18" t="str">
        <f>IF($C129="","",IFERROR(INDEX(Clients!$B$5:$B$1000,MATCH($C129,Clients!$A$5:$A$1000,0)),"Unknown client ID"))</f>
        <v/>
      </c>
      <c r="E129" s="16"/>
      <c r="F129" s="16"/>
      <c r="G129" s="17"/>
      <c r="J129" s="12" t="str">
        <f>IF($A129="","",IF(COUNTIFS(Tasks!$B$5:$B$1000,$A129,Tasks!$A$5:$A$1000,"&lt;&gt;")=0,0,COUNTIFS(Tasks!$B$5:$B$1000,$A129,Tasks!$A$5:$A$1000,"&lt;&gt;",Tasks!$D$5:$D$1000,"Done")/COUNTIFS(Tasks!$B$5:$B$1000,$A129,Tasks!$A$5:$A$1000,"&lt;&gt;")))</f>
        <v/>
      </c>
      <c r="K129" s="11" t="str">
        <f>IF(OR($A129="",$F129=""),"",$F129-Overview!$B$3)</f>
        <v/>
      </c>
    </row>
    <row r="130" spans="4:11" x14ac:dyDescent="0.25">
      <c r="D130" s="18" t="str">
        <f>IF($C130="","",IFERROR(INDEX(Clients!$B$5:$B$1000,MATCH($C130,Clients!$A$5:$A$1000,0)),"Unknown client ID"))</f>
        <v/>
      </c>
      <c r="E130" s="16"/>
      <c r="F130" s="16"/>
      <c r="G130" s="17"/>
      <c r="J130" s="12" t="str">
        <f>IF($A130="","",IF(COUNTIFS(Tasks!$B$5:$B$1000,$A130,Tasks!$A$5:$A$1000,"&lt;&gt;")=0,0,COUNTIFS(Tasks!$B$5:$B$1000,$A130,Tasks!$A$5:$A$1000,"&lt;&gt;",Tasks!$D$5:$D$1000,"Done")/COUNTIFS(Tasks!$B$5:$B$1000,$A130,Tasks!$A$5:$A$1000,"&lt;&gt;")))</f>
        <v/>
      </c>
      <c r="K130" s="11" t="str">
        <f>IF(OR($A130="",$F130=""),"",$F130-Overview!$B$3)</f>
        <v/>
      </c>
    </row>
    <row r="131" spans="4:11" x14ac:dyDescent="0.25">
      <c r="D131" s="18" t="str">
        <f>IF($C131="","",IFERROR(INDEX(Clients!$B$5:$B$1000,MATCH($C131,Clients!$A$5:$A$1000,0)),"Unknown client ID"))</f>
        <v/>
      </c>
      <c r="E131" s="16"/>
      <c r="F131" s="16"/>
      <c r="G131" s="17"/>
      <c r="J131" s="12" t="str">
        <f>IF($A131="","",IF(COUNTIFS(Tasks!$B$5:$B$1000,$A131,Tasks!$A$5:$A$1000,"&lt;&gt;")=0,0,COUNTIFS(Tasks!$B$5:$B$1000,$A131,Tasks!$A$5:$A$1000,"&lt;&gt;",Tasks!$D$5:$D$1000,"Done")/COUNTIFS(Tasks!$B$5:$B$1000,$A131,Tasks!$A$5:$A$1000,"&lt;&gt;")))</f>
        <v/>
      </c>
      <c r="K131" s="11" t="str">
        <f>IF(OR($A131="",$F131=""),"",$F131-Overview!$B$3)</f>
        <v/>
      </c>
    </row>
    <row r="132" spans="4:11" x14ac:dyDescent="0.25">
      <c r="D132" s="18" t="str">
        <f>IF($C132="","",IFERROR(INDEX(Clients!$B$5:$B$1000,MATCH($C132,Clients!$A$5:$A$1000,0)),"Unknown client ID"))</f>
        <v/>
      </c>
      <c r="E132" s="16"/>
      <c r="F132" s="16"/>
      <c r="G132" s="17"/>
      <c r="J132" s="12" t="str">
        <f>IF($A132="","",IF(COUNTIFS(Tasks!$B$5:$B$1000,$A132,Tasks!$A$5:$A$1000,"&lt;&gt;")=0,0,COUNTIFS(Tasks!$B$5:$B$1000,$A132,Tasks!$A$5:$A$1000,"&lt;&gt;",Tasks!$D$5:$D$1000,"Done")/COUNTIFS(Tasks!$B$5:$B$1000,$A132,Tasks!$A$5:$A$1000,"&lt;&gt;")))</f>
        <v/>
      </c>
      <c r="K132" s="11" t="str">
        <f>IF(OR($A132="",$F132=""),"",$F132-Overview!$B$3)</f>
        <v/>
      </c>
    </row>
    <row r="133" spans="4:11" x14ac:dyDescent="0.25">
      <c r="D133" s="18" t="str">
        <f>IF($C133="","",IFERROR(INDEX(Clients!$B$5:$B$1000,MATCH($C133,Clients!$A$5:$A$1000,0)),"Unknown client ID"))</f>
        <v/>
      </c>
      <c r="E133" s="16"/>
      <c r="F133" s="16"/>
      <c r="G133" s="17"/>
      <c r="J133" s="12" t="str">
        <f>IF($A133="","",IF(COUNTIFS(Tasks!$B$5:$B$1000,$A133,Tasks!$A$5:$A$1000,"&lt;&gt;")=0,0,COUNTIFS(Tasks!$B$5:$B$1000,$A133,Tasks!$A$5:$A$1000,"&lt;&gt;",Tasks!$D$5:$D$1000,"Done")/COUNTIFS(Tasks!$B$5:$B$1000,$A133,Tasks!$A$5:$A$1000,"&lt;&gt;")))</f>
        <v/>
      </c>
      <c r="K133" s="11" t="str">
        <f>IF(OR($A133="",$F133=""),"",$F133-Overview!$B$3)</f>
        <v/>
      </c>
    </row>
    <row r="134" spans="4:11" x14ac:dyDescent="0.25">
      <c r="D134" s="18" t="str">
        <f>IF($C134="","",IFERROR(INDEX(Clients!$B$5:$B$1000,MATCH($C134,Clients!$A$5:$A$1000,0)),"Unknown client ID"))</f>
        <v/>
      </c>
      <c r="E134" s="16"/>
      <c r="F134" s="16"/>
      <c r="G134" s="17"/>
      <c r="J134" s="12" t="str">
        <f>IF($A134="","",IF(COUNTIFS(Tasks!$B$5:$B$1000,$A134,Tasks!$A$5:$A$1000,"&lt;&gt;")=0,0,COUNTIFS(Tasks!$B$5:$B$1000,$A134,Tasks!$A$5:$A$1000,"&lt;&gt;",Tasks!$D$5:$D$1000,"Done")/COUNTIFS(Tasks!$B$5:$B$1000,$A134,Tasks!$A$5:$A$1000,"&lt;&gt;")))</f>
        <v/>
      </c>
      <c r="K134" s="11" t="str">
        <f>IF(OR($A134="",$F134=""),"",$F134-Overview!$B$3)</f>
        <v/>
      </c>
    </row>
    <row r="135" spans="4:11" x14ac:dyDescent="0.25">
      <c r="D135" s="18" t="str">
        <f>IF($C135="","",IFERROR(INDEX(Clients!$B$5:$B$1000,MATCH($C135,Clients!$A$5:$A$1000,0)),"Unknown client ID"))</f>
        <v/>
      </c>
      <c r="E135" s="16"/>
      <c r="F135" s="16"/>
      <c r="G135" s="17"/>
      <c r="J135" s="12" t="str">
        <f>IF($A135="","",IF(COUNTIFS(Tasks!$B$5:$B$1000,$A135,Tasks!$A$5:$A$1000,"&lt;&gt;")=0,0,COUNTIFS(Tasks!$B$5:$B$1000,$A135,Tasks!$A$5:$A$1000,"&lt;&gt;",Tasks!$D$5:$D$1000,"Done")/COUNTIFS(Tasks!$B$5:$B$1000,$A135,Tasks!$A$5:$A$1000,"&lt;&gt;")))</f>
        <v/>
      </c>
      <c r="K135" s="11" t="str">
        <f>IF(OR($A135="",$F135=""),"",$F135-Overview!$B$3)</f>
        <v/>
      </c>
    </row>
    <row r="136" spans="4:11" x14ac:dyDescent="0.25">
      <c r="D136" s="18" t="str">
        <f>IF($C136="","",IFERROR(INDEX(Clients!$B$5:$B$1000,MATCH($C136,Clients!$A$5:$A$1000,0)),"Unknown client ID"))</f>
        <v/>
      </c>
      <c r="E136" s="16"/>
      <c r="F136" s="16"/>
      <c r="G136" s="17"/>
      <c r="J136" s="12" t="str">
        <f>IF($A136="","",IF(COUNTIFS(Tasks!$B$5:$B$1000,$A136,Tasks!$A$5:$A$1000,"&lt;&gt;")=0,0,COUNTIFS(Tasks!$B$5:$B$1000,$A136,Tasks!$A$5:$A$1000,"&lt;&gt;",Tasks!$D$5:$D$1000,"Done")/COUNTIFS(Tasks!$B$5:$B$1000,$A136,Tasks!$A$5:$A$1000,"&lt;&gt;")))</f>
        <v/>
      </c>
      <c r="K136" s="11" t="str">
        <f>IF(OR($A136="",$F136=""),"",$F136-Overview!$B$3)</f>
        <v/>
      </c>
    </row>
    <row r="137" spans="4:11" x14ac:dyDescent="0.25">
      <c r="D137" s="18" t="str">
        <f>IF($C137="","",IFERROR(INDEX(Clients!$B$5:$B$1000,MATCH($C137,Clients!$A$5:$A$1000,0)),"Unknown client ID"))</f>
        <v/>
      </c>
      <c r="E137" s="16"/>
      <c r="F137" s="16"/>
      <c r="G137" s="17"/>
      <c r="J137" s="12" t="str">
        <f>IF($A137="","",IF(COUNTIFS(Tasks!$B$5:$B$1000,$A137,Tasks!$A$5:$A$1000,"&lt;&gt;")=0,0,COUNTIFS(Tasks!$B$5:$B$1000,$A137,Tasks!$A$5:$A$1000,"&lt;&gt;",Tasks!$D$5:$D$1000,"Done")/COUNTIFS(Tasks!$B$5:$B$1000,$A137,Tasks!$A$5:$A$1000,"&lt;&gt;")))</f>
        <v/>
      </c>
      <c r="K137" s="11" t="str">
        <f>IF(OR($A137="",$F137=""),"",$F137-Overview!$B$3)</f>
        <v/>
      </c>
    </row>
    <row r="138" spans="4:11" x14ac:dyDescent="0.25">
      <c r="D138" s="18" t="str">
        <f>IF($C138="","",IFERROR(INDEX(Clients!$B$5:$B$1000,MATCH($C138,Clients!$A$5:$A$1000,0)),"Unknown client ID"))</f>
        <v/>
      </c>
      <c r="E138" s="16"/>
      <c r="F138" s="16"/>
      <c r="G138" s="17"/>
      <c r="J138" s="12" t="str">
        <f>IF($A138="","",IF(COUNTIFS(Tasks!$B$5:$B$1000,$A138,Tasks!$A$5:$A$1000,"&lt;&gt;")=0,0,COUNTIFS(Tasks!$B$5:$B$1000,$A138,Tasks!$A$5:$A$1000,"&lt;&gt;",Tasks!$D$5:$D$1000,"Done")/COUNTIFS(Tasks!$B$5:$B$1000,$A138,Tasks!$A$5:$A$1000,"&lt;&gt;")))</f>
        <v/>
      </c>
      <c r="K138" s="11" t="str">
        <f>IF(OR($A138="",$F138=""),"",$F138-Overview!$B$3)</f>
        <v/>
      </c>
    </row>
    <row r="139" spans="4:11" x14ac:dyDescent="0.25">
      <c r="D139" s="18" t="str">
        <f>IF($C139="","",IFERROR(INDEX(Clients!$B$5:$B$1000,MATCH($C139,Clients!$A$5:$A$1000,0)),"Unknown client ID"))</f>
        <v/>
      </c>
      <c r="E139" s="16"/>
      <c r="F139" s="16"/>
      <c r="G139" s="17"/>
      <c r="J139" s="12" t="str">
        <f>IF($A139="","",IF(COUNTIFS(Tasks!$B$5:$B$1000,$A139,Tasks!$A$5:$A$1000,"&lt;&gt;")=0,0,COUNTIFS(Tasks!$B$5:$B$1000,$A139,Tasks!$A$5:$A$1000,"&lt;&gt;",Tasks!$D$5:$D$1000,"Done")/COUNTIFS(Tasks!$B$5:$B$1000,$A139,Tasks!$A$5:$A$1000,"&lt;&gt;")))</f>
        <v/>
      </c>
      <c r="K139" s="11" t="str">
        <f>IF(OR($A139="",$F139=""),"",$F139-Overview!$B$3)</f>
        <v/>
      </c>
    </row>
    <row r="140" spans="4:11" x14ac:dyDescent="0.25">
      <c r="D140" s="18" t="str">
        <f>IF($C140="","",IFERROR(INDEX(Clients!$B$5:$B$1000,MATCH($C140,Clients!$A$5:$A$1000,0)),"Unknown client ID"))</f>
        <v/>
      </c>
      <c r="E140" s="16"/>
      <c r="F140" s="16"/>
      <c r="G140" s="17"/>
      <c r="J140" s="12" t="str">
        <f>IF($A140="","",IF(COUNTIFS(Tasks!$B$5:$B$1000,$A140,Tasks!$A$5:$A$1000,"&lt;&gt;")=0,0,COUNTIFS(Tasks!$B$5:$B$1000,$A140,Tasks!$A$5:$A$1000,"&lt;&gt;",Tasks!$D$5:$D$1000,"Done")/COUNTIFS(Tasks!$B$5:$B$1000,$A140,Tasks!$A$5:$A$1000,"&lt;&gt;")))</f>
        <v/>
      </c>
      <c r="K140" s="11" t="str">
        <f>IF(OR($A140="",$F140=""),"",$F140-Overview!$B$3)</f>
        <v/>
      </c>
    </row>
    <row r="141" spans="4:11" x14ac:dyDescent="0.25">
      <c r="D141" s="18" t="str">
        <f>IF($C141="","",IFERROR(INDEX(Clients!$B$5:$B$1000,MATCH($C141,Clients!$A$5:$A$1000,0)),"Unknown client ID"))</f>
        <v/>
      </c>
      <c r="E141" s="16"/>
      <c r="F141" s="16"/>
      <c r="G141" s="17"/>
      <c r="J141" s="12" t="str">
        <f>IF($A141="","",IF(COUNTIFS(Tasks!$B$5:$B$1000,$A141,Tasks!$A$5:$A$1000,"&lt;&gt;")=0,0,COUNTIFS(Tasks!$B$5:$B$1000,$A141,Tasks!$A$5:$A$1000,"&lt;&gt;",Tasks!$D$5:$D$1000,"Done")/COUNTIFS(Tasks!$B$5:$B$1000,$A141,Tasks!$A$5:$A$1000,"&lt;&gt;")))</f>
        <v/>
      </c>
      <c r="K141" s="11" t="str">
        <f>IF(OR($A141="",$F141=""),"",$F141-Overview!$B$3)</f>
        <v/>
      </c>
    </row>
    <row r="142" spans="4:11" x14ac:dyDescent="0.25">
      <c r="D142" s="18" t="str">
        <f>IF($C142="","",IFERROR(INDEX(Clients!$B$5:$B$1000,MATCH($C142,Clients!$A$5:$A$1000,0)),"Unknown client ID"))</f>
        <v/>
      </c>
      <c r="E142" s="16"/>
      <c r="F142" s="16"/>
      <c r="G142" s="17"/>
      <c r="J142" s="12" t="str">
        <f>IF($A142="","",IF(COUNTIFS(Tasks!$B$5:$B$1000,$A142,Tasks!$A$5:$A$1000,"&lt;&gt;")=0,0,COUNTIFS(Tasks!$B$5:$B$1000,$A142,Tasks!$A$5:$A$1000,"&lt;&gt;",Tasks!$D$5:$D$1000,"Done")/COUNTIFS(Tasks!$B$5:$B$1000,$A142,Tasks!$A$5:$A$1000,"&lt;&gt;")))</f>
        <v/>
      </c>
      <c r="K142" s="11" t="str">
        <f>IF(OR($A142="",$F142=""),"",$F142-Overview!$B$3)</f>
        <v/>
      </c>
    </row>
    <row r="143" spans="4:11" x14ac:dyDescent="0.25">
      <c r="D143" s="18" t="str">
        <f>IF($C143="","",IFERROR(INDEX(Clients!$B$5:$B$1000,MATCH($C143,Clients!$A$5:$A$1000,0)),"Unknown client ID"))</f>
        <v/>
      </c>
      <c r="E143" s="16"/>
      <c r="F143" s="16"/>
      <c r="G143" s="17"/>
      <c r="J143" s="12" t="str">
        <f>IF($A143="","",IF(COUNTIFS(Tasks!$B$5:$B$1000,$A143,Tasks!$A$5:$A$1000,"&lt;&gt;")=0,0,COUNTIFS(Tasks!$B$5:$B$1000,$A143,Tasks!$A$5:$A$1000,"&lt;&gt;",Tasks!$D$5:$D$1000,"Done")/COUNTIFS(Tasks!$B$5:$B$1000,$A143,Tasks!$A$5:$A$1000,"&lt;&gt;")))</f>
        <v/>
      </c>
      <c r="K143" s="11" t="str">
        <f>IF(OR($A143="",$F143=""),"",$F143-Overview!$B$3)</f>
        <v/>
      </c>
    </row>
    <row r="144" spans="4:11" x14ac:dyDescent="0.25">
      <c r="D144" s="18" t="str">
        <f>IF($C144="","",IFERROR(INDEX(Clients!$B$5:$B$1000,MATCH($C144,Clients!$A$5:$A$1000,0)),"Unknown client ID"))</f>
        <v/>
      </c>
      <c r="E144" s="16"/>
      <c r="F144" s="16"/>
      <c r="G144" s="17"/>
      <c r="J144" s="12" t="str">
        <f>IF($A144="","",IF(COUNTIFS(Tasks!$B$5:$B$1000,$A144,Tasks!$A$5:$A$1000,"&lt;&gt;")=0,0,COUNTIFS(Tasks!$B$5:$B$1000,$A144,Tasks!$A$5:$A$1000,"&lt;&gt;",Tasks!$D$5:$D$1000,"Done")/COUNTIFS(Tasks!$B$5:$B$1000,$A144,Tasks!$A$5:$A$1000,"&lt;&gt;")))</f>
        <v/>
      </c>
      <c r="K144" s="11" t="str">
        <f>IF(OR($A144="",$F144=""),"",$F144-Overview!$B$3)</f>
        <v/>
      </c>
    </row>
    <row r="145" spans="4:11" x14ac:dyDescent="0.25">
      <c r="D145" s="18" t="str">
        <f>IF($C145="","",IFERROR(INDEX(Clients!$B$5:$B$1000,MATCH($C145,Clients!$A$5:$A$1000,0)),"Unknown client ID"))</f>
        <v/>
      </c>
      <c r="E145" s="16"/>
      <c r="F145" s="16"/>
      <c r="G145" s="17"/>
      <c r="J145" s="12" t="str">
        <f>IF($A145="","",IF(COUNTIFS(Tasks!$B$5:$B$1000,$A145,Tasks!$A$5:$A$1000,"&lt;&gt;")=0,0,COUNTIFS(Tasks!$B$5:$B$1000,$A145,Tasks!$A$5:$A$1000,"&lt;&gt;",Tasks!$D$5:$D$1000,"Done")/COUNTIFS(Tasks!$B$5:$B$1000,$A145,Tasks!$A$5:$A$1000,"&lt;&gt;")))</f>
        <v/>
      </c>
      <c r="K145" s="11" t="str">
        <f>IF(OR($A145="",$F145=""),"",$F145-Overview!$B$3)</f>
        <v/>
      </c>
    </row>
    <row r="146" spans="4:11" x14ac:dyDescent="0.25">
      <c r="D146" s="18" t="str">
        <f>IF($C146="","",IFERROR(INDEX(Clients!$B$5:$B$1000,MATCH($C146,Clients!$A$5:$A$1000,0)),"Unknown client ID"))</f>
        <v/>
      </c>
      <c r="E146" s="16"/>
      <c r="F146" s="16"/>
      <c r="G146" s="17"/>
      <c r="J146" s="12" t="str">
        <f>IF($A146="","",IF(COUNTIFS(Tasks!$B$5:$B$1000,$A146,Tasks!$A$5:$A$1000,"&lt;&gt;")=0,0,COUNTIFS(Tasks!$B$5:$B$1000,$A146,Tasks!$A$5:$A$1000,"&lt;&gt;",Tasks!$D$5:$D$1000,"Done")/COUNTIFS(Tasks!$B$5:$B$1000,$A146,Tasks!$A$5:$A$1000,"&lt;&gt;")))</f>
        <v/>
      </c>
      <c r="K146" s="11" t="str">
        <f>IF(OR($A146="",$F146=""),"",$F146-Overview!$B$3)</f>
        <v/>
      </c>
    </row>
    <row r="147" spans="4:11" x14ac:dyDescent="0.25">
      <c r="D147" s="18" t="str">
        <f>IF($C147="","",IFERROR(INDEX(Clients!$B$5:$B$1000,MATCH($C147,Clients!$A$5:$A$1000,0)),"Unknown client ID"))</f>
        <v/>
      </c>
      <c r="E147" s="16"/>
      <c r="F147" s="16"/>
      <c r="G147" s="17"/>
      <c r="J147" s="12" t="str">
        <f>IF($A147="","",IF(COUNTIFS(Tasks!$B$5:$B$1000,$A147,Tasks!$A$5:$A$1000,"&lt;&gt;")=0,0,COUNTIFS(Tasks!$B$5:$B$1000,$A147,Tasks!$A$5:$A$1000,"&lt;&gt;",Tasks!$D$5:$D$1000,"Done")/COUNTIFS(Tasks!$B$5:$B$1000,$A147,Tasks!$A$5:$A$1000,"&lt;&gt;")))</f>
        <v/>
      </c>
      <c r="K147" s="11" t="str">
        <f>IF(OR($A147="",$F147=""),"",$F147-Overview!$B$3)</f>
        <v/>
      </c>
    </row>
    <row r="148" spans="4:11" x14ac:dyDescent="0.25">
      <c r="D148" s="18" t="str">
        <f>IF($C148="","",IFERROR(INDEX(Clients!$B$5:$B$1000,MATCH($C148,Clients!$A$5:$A$1000,0)),"Unknown client ID"))</f>
        <v/>
      </c>
      <c r="E148" s="16"/>
      <c r="F148" s="16"/>
      <c r="G148" s="17"/>
      <c r="J148" s="12" t="str">
        <f>IF($A148="","",IF(COUNTIFS(Tasks!$B$5:$B$1000,$A148,Tasks!$A$5:$A$1000,"&lt;&gt;")=0,0,COUNTIFS(Tasks!$B$5:$B$1000,$A148,Tasks!$A$5:$A$1000,"&lt;&gt;",Tasks!$D$5:$D$1000,"Done")/COUNTIFS(Tasks!$B$5:$B$1000,$A148,Tasks!$A$5:$A$1000,"&lt;&gt;")))</f>
        <v/>
      </c>
      <c r="K148" s="11" t="str">
        <f>IF(OR($A148="",$F148=""),"",$F148-Overview!$B$3)</f>
        <v/>
      </c>
    </row>
    <row r="149" spans="4:11" x14ac:dyDescent="0.25">
      <c r="D149" s="18" t="str">
        <f>IF($C149="","",IFERROR(INDEX(Clients!$B$5:$B$1000,MATCH($C149,Clients!$A$5:$A$1000,0)),"Unknown client ID"))</f>
        <v/>
      </c>
      <c r="E149" s="16"/>
      <c r="F149" s="16"/>
      <c r="G149" s="17"/>
      <c r="J149" s="12" t="str">
        <f>IF($A149="","",IF(COUNTIFS(Tasks!$B$5:$B$1000,$A149,Tasks!$A$5:$A$1000,"&lt;&gt;")=0,0,COUNTIFS(Tasks!$B$5:$B$1000,$A149,Tasks!$A$5:$A$1000,"&lt;&gt;",Tasks!$D$5:$D$1000,"Done")/COUNTIFS(Tasks!$B$5:$B$1000,$A149,Tasks!$A$5:$A$1000,"&lt;&gt;")))</f>
        <v/>
      </c>
      <c r="K149" s="11" t="str">
        <f>IF(OR($A149="",$F149=""),"",$F149-Overview!$B$3)</f>
        <v/>
      </c>
    </row>
    <row r="150" spans="4:11" x14ac:dyDescent="0.25">
      <c r="D150" s="18" t="str">
        <f>IF($C150="","",IFERROR(INDEX(Clients!$B$5:$B$1000,MATCH($C150,Clients!$A$5:$A$1000,0)),"Unknown client ID"))</f>
        <v/>
      </c>
      <c r="E150" s="16"/>
      <c r="F150" s="16"/>
      <c r="G150" s="17"/>
      <c r="J150" s="12" t="str">
        <f>IF($A150="","",IF(COUNTIFS(Tasks!$B$5:$B$1000,$A150,Tasks!$A$5:$A$1000,"&lt;&gt;")=0,0,COUNTIFS(Tasks!$B$5:$B$1000,$A150,Tasks!$A$5:$A$1000,"&lt;&gt;",Tasks!$D$5:$D$1000,"Done")/COUNTIFS(Tasks!$B$5:$B$1000,$A150,Tasks!$A$5:$A$1000,"&lt;&gt;")))</f>
        <v/>
      </c>
      <c r="K150" s="11" t="str">
        <f>IF(OR($A150="",$F150=""),"",$F150-Overview!$B$3)</f>
        <v/>
      </c>
    </row>
    <row r="151" spans="4:11" x14ac:dyDescent="0.25">
      <c r="D151" s="18" t="str">
        <f>IF($C151="","",IFERROR(INDEX(Clients!$B$5:$B$1000,MATCH($C151,Clients!$A$5:$A$1000,0)),"Unknown client ID"))</f>
        <v/>
      </c>
      <c r="E151" s="16"/>
      <c r="F151" s="16"/>
      <c r="G151" s="17"/>
      <c r="J151" s="12" t="str">
        <f>IF($A151="","",IF(COUNTIFS(Tasks!$B$5:$B$1000,$A151,Tasks!$A$5:$A$1000,"&lt;&gt;")=0,0,COUNTIFS(Tasks!$B$5:$B$1000,$A151,Tasks!$A$5:$A$1000,"&lt;&gt;",Tasks!$D$5:$D$1000,"Done")/COUNTIFS(Tasks!$B$5:$B$1000,$A151,Tasks!$A$5:$A$1000,"&lt;&gt;")))</f>
        <v/>
      </c>
      <c r="K151" s="11" t="str">
        <f>IF(OR($A151="",$F151=""),"",$F151-Overview!$B$3)</f>
        <v/>
      </c>
    </row>
    <row r="152" spans="4:11" x14ac:dyDescent="0.25">
      <c r="D152" s="18" t="str">
        <f>IF($C152="","",IFERROR(INDEX(Clients!$B$5:$B$1000,MATCH($C152,Clients!$A$5:$A$1000,0)),"Unknown client ID"))</f>
        <v/>
      </c>
      <c r="E152" s="16"/>
      <c r="F152" s="16"/>
      <c r="G152" s="17"/>
      <c r="J152" s="12" t="str">
        <f>IF($A152="","",IF(COUNTIFS(Tasks!$B$5:$B$1000,$A152,Tasks!$A$5:$A$1000,"&lt;&gt;")=0,0,COUNTIFS(Tasks!$B$5:$B$1000,$A152,Tasks!$A$5:$A$1000,"&lt;&gt;",Tasks!$D$5:$D$1000,"Done")/COUNTIFS(Tasks!$B$5:$B$1000,$A152,Tasks!$A$5:$A$1000,"&lt;&gt;")))</f>
        <v/>
      </c>
      <c r="K152" s="11" t="str">
        <f>IF(OR($A152="",$F152=""),"",$F152-Overview!$B$3)</f>
        <v/>
      </c>
    </row>
    <row r="153" spans="4:11" x14ac:dyDescent="0.25">
      <c r="D153" s="18" t="str">
        <f>IF($C153="","",IFERROR(INDEX(Clients!$B$5:$B$1000,MATCH($C153,Clients!$A$5:$A$1000,0)),"Unknown client ID"))</f>
        <v/>
      </c>
      <c r="E153" s="16"/>
      <c r="F153" s="16"/>
      <c r="G153" s="17"/>
      <c r="J153" s="12" t="str">
        <f>IF($A153="","",IF(COUNTIFS(Tasks!$B$5:$B$1000,$A153,Tasks!$A$5:$A$1000,"&lt;&gt;")=0,0,COUNTIFS(Tasks!$B$5:$B$1000,$A153,Tasks!$A$5:$A$1000,"&lt;&gt;",Tasks!$D$5:$D$1000,"Done")/COUNTIFS(Tasks!$B$5:$B$1000,$A153,Tasks!$A$5:$A$1000,"&lt;&gt;")))</f>
        <v/>
      </c>
      <c r="K153" s="11" t="str">
        <f>IF(OR($A153="",$F153=""),"",$F153-Overview!$B$3)</f>
        <v/>
      </c>
    </row>
    <row r="154" spans="4:11" x14ac:dyDescent="0.25">
      <c r="D154" s="18" t="str">
        <f>IF($C154="","",IFERROR(INDEX(Clients!$B$5:$B$1000,MATCH($C154,Clients!$A$5:$A$1000,0)),"Unknown client ID"))</f>
        <v/>
      </c>
      <c r="E154" s="16"/>
      <c r="F154" s="16"/>
      <c r="G154" s="17"/>
      <c r="J154" s="12" t="str">
        <f>IF($A154="","",IF(COUNTIFS(Tasks!$B$5:$B$1000,$A154,Tasks!$A$5:$A$1000,"&lt;&gt;")=0,0,COUNTIFS(Tasks!$B$5:$B$1000,$A154,Tasks!$A$5:$A$1000,"&lt;&gt;",Tasks!$D$5:$D$1000,"Done")/COUNTIFS(Tasks!$B$5:$B$1000,$A154,Tasks!$A$5:$A$1000,"&lt;&gt;")))</f>
        <v/>
      </c>
      <c r="K154" s="11" t="str">
        <f>IF(OR($A154="",$F154=""),"",$F154-Overview!$B$3)</f>
        <v/>
      </c>
    </row>
    <row r="155" spans="4:11" x14ac:dyDescent="0.25">
      <c r="D155" s="18" t="str">
        <f>IF($C155="","",IFERROR(INDEX(Clients!$B$5:$B$1000,MATCH($C155,Clients!$A$5:$A$1000,0)),"Unknown client ID"))</f>
        <v/>
      </c>
      <c r="E155" s="16"/>
      <c r="F155" s="16"/>
      <c r="G155" s="17"/>
      <c r="J155" s="12" t="str">
        <f>IF($A155="","",IF(COUNTIFS(Tasks!$B$5:$B$1000,$A155,Tasks!$A$5:$A$1000,"&lt;&gt;")=0,0,COUNTIFS(Tasks!$B$5:$B$1000,$A155,Tasks!$A$5:$A$1000,"&lt;&gt;",Tasks!$D$5:$D$1000,"Done")/COUNTIFS(Tasks!$B$5:$B$1000,$A155,Tasks!$A$5:$A$1000,"&lt;&gt;")))</f>
        <v/>
      </c>
      <c r="K155" s="11" t="str">
        <f>IF(OR($A155="",$F155=""),"",$F155-Overview!$B$3)</f>
        <v/>
      </c>
    </row>
    <row r="156" spans="4:11" x14ac:dyDescent="0.25">
      <c r="D156" s="18" t="str">
        <f>IF($C156="","",IFERROR(INDEX(Clients!$B$5:$B$1000,MATCH($C156,Clients!$A$5:$A$1000,0)),"Unknown client ID"))</f>
        <v/>
      </c>
      <c r="E156" s="16"/>
      <c r="F156" s="16"/>
      <c r="G156" s="17"/>
      <c r="J156" s="12" t="str">
        <f>IF($A156="","",IF(COUNTIFS(Tasks!$B$5:$B$1000,$A156,Tasks!$A$5:$A$1000,"&lt;&gt;")=0,0,COUNTIFS(Tasks!$B$5:$B$1000,$A156,Tasks!$A$5:$A$1000,"&lt;&gt;",Tasks!$D$5:$D$1000,"Done")/COUNTIFS(Tasks!$B$5:$B$1000,$A156,Tasks!$A$5:$A$1000,"&lt;&gt;")))</f>
        <v/>
      </c>
      <c r="K156" s="11" t="str">
        <f>IF(OR($A156="",$F156=""),"",$F156-Overview!$B$3)</f>
        <v/>
      </c>
    </row>
    <row r="157" spans="4:11" x14ac:dyDescent="0.25">
      <c r="D157" s="18" t="str">
        <f>IF($C157="","",IFERROR(INDEX(Clients!$B$5:$B$1000,MATCH($C157,Clients!$A$5:$A$1000,0)),"Unknown client ID"))</f>
        <v/>
      </c>
      <c r="E157" s="16"/>
      <c r="F157" s="16"/>
      <c r="G157" s="17"/>
      <c r="J157" s="12" t="str">
        <f>IF($A157="","",IF(COUNTIFS(Tasks!$B$5:$B$1000,$A157,Tasks!$A$5:$A$1000,"&lt;&gt;")=0,0,COUNTIFS(Tasks!$B$5:$B$1000,$A157,Tasks!$A$5:$A$1000,"&lt;&gt;",Tasks!$D$5:$D$1000,"Done")/COUNTIFS(Tasks!$B$5:$B$1000,$A157,Tasks!$A$5:$A$1000,"&lt;&gt;")))</f>
        <v/>
      </c>
      <c r="K157" s="11" t="str">
        <f>IF(OR($A157="",$F157=""),"",$F157-Overview!$B$3)</f>
        <v/>
      </c>
    </row>
    <row r="158" spans="4:11" x14ac:dyDescent="0.25">
      <c r="D158" s="18" t="str">
        <f>IF($C158="","",IFERROR(INDEX(Clients!$B$5:$B$1000,MATCH($C158,Clients!$A$5:$A$1000,0)),"Unknown client ID"))</f>
        <v/>
      </c>
      <c r="E158" s="16"/>
      <c r="F158" s="16"/>
      <c r="G158" s="17"/>
      <c r="J158" s="12" t="str">
        <f>IF($A158="","",IF(COUNTIFS(Tasks!$B$5:$B$1000,$A158,Tasks!$A$5:$A$1000,"&lt;&gt;")=0,0,COUNTIFS(Tasks!$B$5:$B$1000,$A158,Tasks!$A$5:$A$1000,"&lt;&gt;",Tasks!$D$5:$D$1000,"Done")/COUNTIFS(Tasks!$B$5:$B$1000,$A158,Tasks!$A$5:$A$1000,"&lt;&gt;")))</f>
        <v/>
      </c>
      <c r="K158" s="11" t="str">
        <f>IF(OR($A158="",$F158=""),"",$F158-Overview!$B$3)</f>
        <v/>
      </c>
    </row>
    <row r="159" spans="4:11" x14ac:dyDescent="0.25">
      <c r="D159" s="18" t="str">
        <f>IF($C159="","",IFERROR(INDEX(Clients!$B$5:$B$1000,MATCH($C159,Clients!$A$5:$A$1000,0)),"Unknown client ID"))</f>
        <v/>
      </c>
      <c r="E159" s="16"/>
      <c r="F159" s="16"/>
      <c r="G159" s="17"/>
      <c r="J159" s="12" t="str">
        <f>IF($A159="","",IF(COUNTIFS(Tasks!$B$5:$B$1000,$A159,Tasks!$A$5:$A$1000,"&lt;&gt;")=0,0,COUNTIFS(Tasks!$B$5:$B$1000,$A159,Tasks!$A$5:$A$1000,"&lt;&gt;",Tasks!$D$5:$D$1000,"Done")/COUNTIFS(Tasks!$B$5:$B$1000,$A159,Tasks!$A$5:$A$1000,"&lt;&gt;")))</f>
        <v/>
      </c>
      <c r="K159" s="11" t="str">
        <f>IF(OR($A159="",$F159=""),"",$F159-Overview!$B$3)</f>
        <v/>
      </c>
    </row>
    <row r="160" spans="4:11" x14ac:dyDescent="0.25">
      <c r="D160" s="18" t="str">
        <f>IF($C160="","",IFERROR(INDEX(Clients!$B$5:$B$1000,MATCH($C160,Clients!$A$5:$A$1000,0)),"Unknown client ID"))</f>
        <v/>
      </c>
      <c r="E160" s="16"/>
      <c r="F160" s="16"/>
      <c r="G160" s="17"/>
      <c r="J160" s="12" t="str">
        <f>IF($A160="","",IF(COUNTIFS(Tasks!$B$5:$B$1000,$A160,Tasks!$A$5:$A$1000,"&lt;&gt;")=0,0,COUNTIFS(Tasks!$B$5:$B$1000,$A160,Tasks!$A$5:$A$1000,"&lt;&gt;",Tasks!$D$5:$D$1000,"Done")/COUNTIFS(Tasks!$B$5:$B$1000,$A160,Tasks!$A$5:$A$1000,"&lt;&gt;")))</f>
        <v/>
      </c>
      <c r="K160" s="11" t="str">
        <f>IF(OR($A160="",$F160=""),"",$F160-Overview!$B$3)</f>
        <v/>
      </c>
    </row>
    <row r="161" spans="4:11" x14ac:dyDescent="0.25">
      <c r="D161" s="18" t="str">
        <f>IF($C161="","",IFERROR(INDEX(Clients!$B$5:$B$1000,MATCH($C161,Clients!$A$5:$A$1000,0)),"Unknown client ID"))</f>
        <v/>
      </c>
      <c r="E161" s="16"/>
      <c r="F161" s="16"/>
      <c r="G161" s="17"/>
      <c r="J161" s="12" t="str">
        <f>IF($A161="","",IF(COUNTIFS(Tasks!$B$5:$B$1000,$A161,Tasks!$A$5:$A$1000,"&lt;&gt;")=0,0,COUNTIFS(Tasks!$B$5:$B$1000,$A161,Tasks!$A$5:$A$1000,"&lt;&gt;",Tasks!$D$5:$D$1000,"Done")/COUNTIFS(Tasks!$B$5:$B$1000,$A161,Tasks!$A$5:$A$1000,"&lt;&gt;")))</f>
        <v/>
      </c>
      <c r="K161" s="11" t="str">
        <f>IF(OR($A161="",$F161=""),"",$F161-Overview!$B$3)</f>
        <v/>
      </c>
    </row>
    <row r="162" spans="4:11" x14ac:dyDescent="0.25">
      <c r="D162" s="18" t="str">
        <f>IF($C162="","",IFERROR(INDEX(Clients!$B$5:$B$1000,MATCH($C162,Clients!$A$5:$A$1000,0)),"Unknown client ID"))</f>
        <v/>
      </c>
      <c r="E162" s="16"/>
      <c r="F162" s="16"/>
      <c r="G162" s="17"/>
      <c r="J162" s="12" t="str">
        <f>IF($A162="","",IF(COUNTIFS(Tasks!$B$5:$B$1000,$A162,Tasks!$A$5:$A$1000,"&lt;&gt;")=0,0,COUNTIFS(Tasks!$B$5:$B$1000,$A162,Tasks!$A$5:$A$1000,"&lt;&gt;",Tasks!$D$5:$D$1000,"Done")/COUNTIFS(Tasks!$B$5:$B$1000,$A162,Tasks!$A$5:$A$1000,"&lt;&gt;")))</f>
        <v/>
      </c>
      <c r="K162" s="11" t="str">
        <f>IF(OR($A162="",$F162=""),"",$F162-Overview!$B$3)</f>
        <v/>
      </c>
    </row>
    <row r="163" spans="4:11" x14ac:dyDescent="0.25">
      <c r="D163" s="18" t="str">
        <f>IF($C163="","",IFERROR(INDEX(Clients!$B$5:$B$1000,MATCH($C163,Clients!$A$5:$A$1000,0)),"Unknown client ID"))</f>
        <v/>
      </c>
      <c r="E163" s="16"/>
      <c r="F163" s="16"/>
      <c r="G163" s="17"/>
      <c r="J163" s="12" t="str">
        <f>IF($A163="","",IF(COUNTIFS(Tasks!$B$5:$B$1000,$A163,Tasks!$A$5:$A$1000,"&lt;&gt;")=0,0,COUNTIFS(Tasks!$B$5:$B$1000,$A163,Tasks!$A$5:$A$1000,"&lt;&gt;",Tasks!$D$5:$D$1000,"Done")/COUNTIFS(Tasks!$B$5:$B$1000,$A163,Tasks!$A$5:$A$1000,"&lt;&gt;")))</f>
        <v/>
      </c>
      <c r="K163" s="11" t="str">
        <f>IF(OR($A163="",$F163=""),"",$F163-Overview!$B$3)</f>
        <v/>
      </c>
    </row>
    <row r="164" spans="4:11" x14ac:dyDescent="0.25">
      <c r="D164" s="18" t="str">
        <f>IF($C164="","",IFERROR(INDEX(Clients!$B$5:$B$1000,MATCH($C164,Clients!$A$5:$A$1000,0)),"Unknown client ID"))</f>
        <v/>
      </c>
      <c r="E164" s="16"/>
      <c r="F164" s="16"/>
      <c r="G164" s="17"/>
      <c r="J164" s="12" t="str">
        <f>IF($A164="","",IF(COUNTIFS(Tasks!$B$5:$B$1000,$A164,Tasks!$A$5:$A$1000,"&lt;&gt;")=0,0,COUNTIFS(Tasks!$B$5:$B$1000,$A164,Tasks!$A$5:$A$1000,"&lt;&gt;",Tasks!$D$5:$D$1000,"Done")/COUNTIFS(Tasks!$B$5:$B$1000,$A164,Tasks!$A$5:$A$1000,"&lt;&gt;")))</f>
        <v/>
      </c>
      <c r="K164" s="11" t="str">
        <f>IF(OR($A164="",$F164=""),"",$F164-Overview!$B$3)</f>
        <v/>
      </c>
    </row>
    <row r="165" spans="4:11" x14ac:dyDescent="0.25">
      <c r="D165" s="18" t="str">
        <f>IF($C165="","",IFERROR(INDEX(Clients!$B$5:$B$1000,MATCH($C165,Clients!$A$5:$A$1000,0)),"Unknown client ID"))</f>
        <v/>
      </c>
      <c r="E165" s="16"/>
      <c r="F165" s="16"/>
      <c r="G165" s="17"/>
      <c r="J165" s="12" t="str">
        <f>IF($A165="","",IF(COUNTIFS(Tasks!$B$5:$B$1000,$A165,Tasks!$A$5:$A$1000,"&lt;&gt;")=0,0,COUNTIFS(Tasks!$B$5:$B$1000,$A165,Tasks!$A$5:$A$1000,"&lt;&gt;",Tasks!$D$5:$D$1000,"Done")/COUNTIFS(Tasks!$B$5:$B$1000,$A165,Tasks!$A$5:$A$1000,"&lt;&gt;")))</f>
        <v/>
      </c>
      <c r="K165" s="11" t="str">
        <f>IF(OR($A165="",$F165=""),"",$F165-Overview!$B$3)</f>
        <v/>
      </c>
    </row>
    <row r="166" spans="4:11" x14ac:dyDescent="0.25">
      <c r="D166" s="18" t="str">
        <f>IF($C166="","",IFERROR(INDEX(Clients!$B$5:$B$1000,MATCH($C166,Clients!$A$5:$A$1000,0)),"Unknown client ID"))</f>
        <v/>
      </c>
      <c r="E166" s="16"/>
      <c r="F166" s="16"/>
      <c r="G166" s="17"/>
      <c r="J166" s="12" t="str">
        <f>IF($A166="","",IF(COUNTIFS(Tasks!$B$5:$B$1000,$A166,Tasks!$A$5:$A$1000,"&lt;&gt;")=0,0,COUNTIFS(Tasks!$B$5:$B$1000,$A166,Tasks!$A$5:$A$1000,"&lt;&gt;",Tasks!$D$5:$D$1000,"Done")/COUNTIFS(Tasks!$B$5:$B$1000,$A166,Tasks!$A$5:$A$1000,"&lt;&gt;")))</f>
        <v/>
      </c>
      <c r="K166" s="11" t="str">
        <f>IF(OR($A166="",$F166=""),"",$F166-Overview!$B$3)</f>
        <v/>
      </c>
    </row>
    <row r="167" spans="4:11" x14ac:dyDescent="0.25">
      <c r="D167" s="18" t="str">
        <f>IF($C167="","",IFERROR(INDEX(Clients!$B$5:$B$1000,MATCH($C167,Clients!$A$5:$A$1000,0)),"Unknown client ID"))</f>
        <v/>
      </c>
      <c r="E167" s="16"/>
      <c r="F167" s="16"/>
      <c r="G167" s="17"/>
      <c r="J167" s="12" t="str">
        <f>IF($A167="","",IF(COUNTIFS(Tasks!$B$5:$B$1000,$A167,Tasks!$A$5:$A$1000,"&lt;&gt;")=0,0,COUNTIFS(Tasks!$B$5:$B$1000,$A167,Tasks!$A$5:$A$1000,"&lt;&gt;",Tasks!$D$5:$D$1000,"Done")/COUNTIFS(Tasks!$B$5:$B$1000,$A167,Tasks!$A$5:$A$1000,"&lt;&gt;")))</f>
        <v/>
      </c>
      <c r="K167" s="11" t="str">
        <f>IF(OR($A167="",$F167=""),"",$F167-Overview!$B$3)</f>
        <v/>
      </c>
    </row>
    <row r="168" spans="4:11" x14ac:dyDescent="0.25">
      <c r="D168" s="18" t="str">
        <f>IF($C168="","",IFERROR(INDEX(Clients!$B$5:$B$1000,MATCH($C168,Clients!$A$5:$A$1000,0)),"Unknown client ID"))</f>
        <v/>
      </c>
      <c r="E168" s="16"/>
      <c r="F168" s="16"/>
      <c r="G168" s="17"/>
      <c r="J168" s="12" t="str">
        <f>IF($A168="","",IF(COUNTIFS(Tasks!$B$5:$B$1000,$A168,Tasks!$A$5:$A$1000,"&lt;&gt;")=0,0,COUNTIFS(Tasks!$B$5:$B$1000,$A168,Tasks!$A$5:$A$1000,"&lt;&gt;",Tasks!$D$5:$D$1000,"Done")/COUNTIFS(Tasks!$B$5:$B$1000,$A168,Tasks!$A$5:$A$1000,"&lt;&gt;")))</f>
        <v/>
      </c>
      <c r="K168" s="11" t="str">
        <f>IF(OR($A168="",$F168=""),"",$F168-Overview!$B$3)</f>
        <v/>
      </c>
    </row>
    <row r="169" spans="4:11" x14ac:dyDescent="0.25">
      <c r="D169" s="18" t="str">
        <f>IF($C169="","",IFERROR(INDEX(Clients!$B$5:$B$1000,MATCH($C169,Clients!$A$5:$A$1000,0)),"Unknown client ID"))</f>
        <v/>
      </c>
      <c r="E169" s="16"/>
      <c r="F169" s="16"/>
      <c r="G169" s="17"/>
      <c r="J169" s="12" t="str">
        <f>IF($A169="","",IF(COUNTIFS(Tasks!$B$5:$B$1000,$A169,Tasks!$A$5:$A$1000,"&lt;&gt;")=0,0,COUNTIFS(Tasks!$B$5:$B$1000,$A169,Tasks!$A$5:$A$1000,"&lt;&gt;",Tasks!$D$5:$D$1000,"Done")/COUNTIFS(Tasks!$B$5:$B$1000,$A169,Tasks!$A$5:$A$1000,"&lt;&gt;")))</f>
        <v/>
      </c>
      <c r="K169" s="11" t="str">
        <f>IF(OR($A169="",$F169=""),"",$F169-Overview!$B$3)</f>
        <v/>
      </c>
    </row>
    <row r="170" spans="4:11" x14ac:dyDescent="0.25">
      <c r="D170" s="18" t="str">
        <f>IF($C170="","",IFERROR(INDEX(Clients!$B$5:$B$1000,MATCH($C170,Clients!$A$5:$A$1000,0)),"Unknown client ID"))</f>
        <v/>
      </c>
      <c r="E170" s="16"/>
      <c r="F170" s="16"/>
      <c r="G170" s="17"/>
      <c r="J170" s="12" t="str">
        <f>IF($A170="","",IF(COUNTIFS(Tasks!$B$5:$B$1000,$A170,Tasks!$A$5:$A$1000,"&lt;&gt;")=0,0,COUNTIFS(Tasks!$B$5:$B$1000,$A170,Tasks!$A$5:$A$1000,"&lt;&gt;",Tasks!$D$5:$D$1000,"Done")/COUNTIFS(Tasks!$B$5:$B$1000,$A170,Tasks!$A$5:$A$1000,"&lt;&gt;")))</f>
        <v/>
      </c>
      <c r="K170" s="11" t="str">
        <f>IF(OR($A170="",$F170=""),"",$F170-Overview!$B$3)</f>
        <v/>
      </c>
    </row>
    <row r="171" spans="4:11" x14ac:dyDescent="0.25">
      <c r="D171" s="18" t="str">
        <f>IF($C171="","",IFERROR(INDEX(Clients!$B$5:$B$1000,MATCH($C171,Clients!$A$5:$A$1000,0)),"Unknown client ID"))</f>
        <v/>
      </c>
      <c r="E171" s="16"/>
      <c r="F171" s="16"/>
      <c r="G171" s="17"/>
      <c r="J171" s="12" t="str">
        <f>IF($A171="","",IF(COUNTIFS(Tasks!$B$5:$B$1000,$A171,Tasks!$A$5:$A$1000,"&lt;&gt;")=0,0,COUNTIFS(Tasks!$B$5:$B$1000,$A171,Tasks!$A$5:$A$1000,"&lt;&gt;",Tasks!$D$5:$D$1000,"Done")/COUNTIFS(Tasks!$B$5:$B$1000,$A171,Tasks!$A$5:$A$1000,"&lt;&gt;")))</f>
        <v/>
      </c>
      <c r="K171" s="11" t="str">
        <f>IF(OR($A171="",$F171=""),"",$F171-Overview!$B$3)</f>
        <v/>
      </c>
    </row>
    <row r="172" spans="4:11" x14ac:dyDescent="0.25">
      <c r="D172" s="18" t="str">
        <f>IF($C172="","",IFERROR(INDEX(Clients!$B$5:$B$1000,MATCH($C172,Clients!$A$5:$A$1000,0)),"Unknown client ID"))</f>
        <v/>
      </c>
      <c r="E172" s="16"/>
      <c r="F172" s="16"/>
      <c r="G172" s="17"/>
      <c r="J172" s="12" t="str">
        <f>IF($A172="","",IF(COUNTIFS(Tasks!$B$5:$B$1000,$A172,Tasks!$A$5:$A$1000,"&lt;&gt;")=0,0,COUNTIFS(Tasks!$B$5:$B$1000,$A172,Tasks!$A$5:$A$1000,"&lt;&gt;",Tasks!$D$5:$D$1000,"Done")/COUNTIFS(Tasks!$B$5:$B$1000,$A172,Tasks!$A$5:$A$1000,"&lt;&gt;")))</f>
        <v/>
      </c>
      <c r="K172" s="11" t="str">
        <f>IF(OR($A172="",$F172=""),"",$F172-Overview!$B$3)</f>
        <v/>
      </c>
    </row>
    <row r="173" spans="4:11" x14ac:dyDescent="0.25">
      <c r="D173" s="18" t="str">
        <f>IF($C173="","",IFERROR(INDEX(Clients!$B$5:$B$1000,MATCH($C173,Clients!$A$5:$A$1000,0)),"Unknown client ID"))</f>
        <v/>
      </c>
      <c r="E173" s="16"/>
      <c r="F173" s="16"/>
      <c r="G173" s="17"/>
      <c r="J173" s="12" t="str">
        <f>IF($A173="","",IF(COUNTIFS(Tasks!$B$5:$B$1000,$A173,Tasks!$A$5:$A$1000,"&lt;&gt;")=0,0,COUNTIFS(Tasks!$B$5:$B$1000,$A173,Tasks!$A$5:$A$1000,"&lt;&gt;",Tasks!$D$5:$D$1000,"Done")/COUNTIFS(Tasks!$B$5:$B$1000,$A173,Tasks!$A$5:$A$1000,"&lt;&gt;")))</f>
        <v/>
      </c>
      <c r="K173" s="11" t="str">
        <f>IF(OR($A173="",$F173=""),"",$F173-Overview!$B$3)</f>
        <v/>
      </c>
    </row>
    <row r="174" spans="4:11" x14ac:dyDescent="0.25">
      <c r="D174" s="18" t="str">
        <f>IF($C174="","",IFERROR(INDEX(Clients!$B$5:$B$1000,MATCH($C174,Clients!$A$5:$A$1000,0)),"Unknown client ID"))</f>
        <v/>
      </c>
      <c r="E174" s="16"/>
      <c r="F174" s="16"/>
      <c r="G174" s="17"/>
      <c r="J174" s="12" t="str">
        <f>IF($A174="","",IF(COUNTIFS(Tasks!$B$5:$B$1000,$A174,Tasks!$A$5:$A$1000,"&lt;&gt;")=0,0,COUNTIFS(Tasks!$B$5:$B$1000,$A174,Tasks!$A$5:$A$1000,"&lt;&gt;",Tasks!$D$5:$D$1000,"Done")/COUNTIFS(Tasks!$B$5:$B$1000,$A174,Tasks!$A$5:$A$1000,"&lt;&gt;")))</f>
        <v/>
      </c>
      <c r="K174" s="11" t="str">
        <f>IF(OR($A174="",$F174=""),"",$F174-Overview!$B$3)</f>
        <v/>
      </c>
    </row>
    <row r="175" spans="4:11" x14ac:dyDescent="0.25">
      <c r="D175" s="18" t="str">
        <f>IF($C175="","",IFERROR(INDEX(Clients!$B$5:$B$1000,MATCH($C175,Clients!$A$5:$A$1000,0)),"Unknown client ID"))</f>
        <v/>
      </c>
      <c r="E175" s="16"/>
      <c r="F175" s="16"/>
      <c r="G175" s="17"/>
      <c r="J175" s="12" t="str">
        <f>IF($A175="","",IF(COUNTIFS(Tasks!$B$5:$B$1000,$A175,Tasks!$A$5:$A$1000,"&lt;&gt;")=0,0,COUNTIFS(Tasks!$B$5:$B$1000,$A175,Tasks!$A$5:$A$1000,"&lt;&gt;",Tasks!$D$5:$D$1000,"Done")/COUNTIFS(Tasks!$B$5:$B$1000,$A175,Tasks!$A$5:$A$1000,"&lt;&gt;")))</f>
        <v/>
      </c>
      <c r="K175" s="11" t="str">
        <f>IF(OR($A175="",$F175=""),"",$F175-Overview!$B$3)</f>
        <v/>
      </c>
    </row>
    <row r="176" spans="4:11" x14ac:dyDescent="0.25">
      <c r="D176" s="18" t="str">
        <f>IF($C176="","",IFERROR(INDEX(Clients!$B$5:$B$1000,MATCH($C176,Clients!$A$5:$A$1000,0)),"Unknown client ID"))</f>
        <v/>
      </c>
      <c r="E176" s="16"/>
      <c r="F176" s="16"/>
      <c r="G176" s="17"/>
      <c r="J176" s="12" t="str">
        <f>IF($A176="","",IF(COUNTIFS(Tasks!$B$5:$B$1000,$A176,Tasks!$A$5:$A$1000,"&lt;&gt;")=0,0,COUNTIFS(Tasks!$B$5:$B$1000,$A176,Tasks!$A$5:$A$1000,"&lt;&gt;",Tasks!$D$5:$D$1000,"Done")/COUNTIFS(Tasks!$B$5:$B$1000,$A176,Tasks!$A$5:$A$1000,"&lt;&gt;")))</f>
        <v/>
      </c>
      <c r="K176" s="11" t="str">
        <f>IF(OR($A176="",$F176=""),"",$F176-Overview!$B$3)</f>
        <v/>
      </c>
    </row>
    <row r="177" spans="4:11" x14ac:dyDescent="0.25">
      <c r="D177" s="18" t="str">
        <f>IF($C177="","",IFERROR(INDEX(Clients!$B$5:$B$1000,MATCH($C177,Clients!$A$5:$A$1000,0)),"Unknown client ID"))</f>
        <v/>
      </c>
      <c r="E177" s="16"/>
      <c r="F177" s="16"/>
      <c r="G177" s="17"/>
      <c r="J177" s="12" t="str">
        <f>IF($A177="","",IF(COUNTIFS(Tasks!$B$5:$B$1000,$A177,Tasks!$A$5:$A$1000,"&lt;&gt;")=0,0,COUNTIFS(Tasks!$B$5:$B$1000,$A177,Tasks!$A$5:$A$1000,"&lt;&gt;",Tasks!$D$5:$D$1000,"Done")/COUNTIFS(Tasks!$B$5:$B$1000,$A177,Tasks!$A$5:$A$1000,"&lt;&gt;")))</f>
        <v/>
      </c>
      <c r="K177" s="11" t="str">
        <f>IF(OR($A177="",$F177=""),"",$F177-Overview!$B$3)</f>
        <v/>
      </c>
    </row>
    <row r="178" spans="4:11" x14ac:dyDescent="0.25">
      <c r="D178" s="18" t="str">
        <f>IF($C178="","",IFERROR(INDEX(Clients!$B$5:$B$1000,MATCH($C178,Clients!$A$5:$A$1000,0)),"Unknown client ID"))</f>
        <v/>
      </c>
      <c r="E178" s="16"/>
      <c r="F178" s="16"/>
      <c r="G178" s="17"/>
      <c r="J178" s="12" t="str">
        <f>IF($A178="","",IF(COUNTIFS(Tasks!$B$5:$B$1000,$A178,Tasks!$A$5:$A$1000,"&lt;&gt;")=0,0,COUNTIFS(Tasks!$B$5:$B$1000,$A178,Tasks!$A$5:$A$1000,"&lt;&gt;",Tasks!$D$5:$D$1000,"Done")/COUNTIFS(Tasks!$B$5:$B$1000,$A178,Tasks!$A$5:$A$1000,"&lt;&gt;")))</f>
        <v/>
      </c>
      <c r="K178" s="11" t="str">
        <f>IF(OR($A178="",$F178=""),"",$F178-Overview!$B$3)</f>
        <v/>
      </c>
    </row>
    <row r="179" spans="4:11" x14ac:dyDescent="0.25">
      <c r="D179" s="18" t="str">
        <f>IF($C179="","",IFERROR(INDEX(Clients!$B$5:$B$1000,MATCH($C179,Clients!$A$5:$A$1000,0)),"Unknown client ID"))</f>
        <v/>
      </c>
      <c r="E179" s="16"/>
      <c r="F179" s="16"/>
      <c r="G179" s="17"/>
      <c r="J179" s="12" t="str">
        <f>IF($A179="","",IF(COUNTIFS(Tasks!$B$5:$B$1000,$A179,Tasks!$A$5:$A$1000,"&lt;&gt;")=0,0,COUNTIFS(Tasks!$B$5:$B$1000,$A179,Tasks!$A$5:$A$1000,"&lt;&gt;",Tasks!$D$5:$D$1000,"Done")/COUNTIFS(Tasks!$B$5:$B$1000,$A179,Tasks!$A$5:$A$1000,"&lt;&gt;")))</f>
        <v/>
      </c>
      <c r="K179" s="11" t="str">
        <f>IF(OR($A179="",$F179=""),"",$F179-Overview!$B$3)</f>
        <v/>
      </c>
    </row>
    <row r="180" spans="4:11" x14ac:dyDescent="0.25">
      <c r="D180" s="18" t="str">
        <f>IF($C180="","",IFERROR(INDEX(Clients!$B$5:$B$1000,MATCH($C180,Clients!$A$5:$A$1000,0)),"Unknown client ID"))</f>
        <v/>
      </c>
      <c r="E180" s="16"/>
      <c r="F180" s="16"/>
      <c r="G180" s="17"/>
      <c r="J180" s="12" t="str">
        <f>IF($A180="","",IF(COUNTIFS(Tasks!$B$5:$B$1000,$A180,Tasks!$A$5:$A$1000,"&lt;&gt;")=0,0,COUNTIFS(Tasks!$B$5:$B$1000,$A180,Tasks!$A$5:$A$1000,"&lt;&gt;",Tasks!$D$5:$D$1000,"Done")/COUNTIFS(Tasks!$B$5:$B$1000,$A180,Tasks!$A$5:$A$1000,"&lt;&gt;")))</f>
        <v/>
      </c>
      <c r="K180" s="11" t="str">
        <f>IF(OR($A180="",$F180=""),"",$F180-Overview!$B$3)</f>
        <v/>
      </c>
    </row>
    <row r="181" spans="4:11" x14ac:dyDescent="0.25">
      <c r="D181" s="18" t="str">
        <f>IF($C181="","",IFERROR(INDEX(Clients!$B$5:$B$1000,MATCH($C181,Clients!$A$5:$A$1000,0)),"Unknown client ID"))</f>
        <v/>
      </c>
      <c r="E181" s="16"/>
      <c r="F181" s="16"/>
      <c r="G181" s="17"/>
      <c r="J181" s="12" t="str">
        <f>IF($A181="","",IF(COUNTIFS(Tasks!$B$5:$B$1000,$A181,Tasks!$A$5:$A$1000,"&lt;&gt;")=0,0,COUNTIFS(Tasks!$B$5:$B$1000,$A181,Tasks!$A$5:$A$1000,"&lt;&gt;",Tasks!$D$5:$D$1000,"Done")/COUNTIFS(Tasks!$B$5:$B$1000,$A181,Tasks!$A$5:$A$1000,"&lt;&gt;")))</f>
        <v/>
      </c>
      <c r="K181" s="11" t="str">
        <f>IF(OR($A181="",$F181=""),"",$F181-Overview!$B$3)</f>
        <v/>
      </c>
    </row>
    <row r="182" spans="4:11" x14ac:dyDescent="0.25">
      <c r="D182" s="18" t="str">
        <f>IF($C182="","",IFERROR(INDEX(Clients!$B$5:$B$1000,MATCH($C182,Clients!$A$5:$A$1000,0)),"Unknown client ID"))</f>
        <v/>
      </c>
      <c r="E182" s="16"/>
      <c r="F182" s="16"/>
      <c r="G182" s="17"/>
      <c r="J182" s="12" t="str">
        <f>IF($A182="","",IF(COUNTIFS(Tasks!$B$5:$B$1000,$A182,Tasks!$A$5:$A$1000,"&lt;&gt;")=0,0,COUNTIFS(Tasks!$B$5:$B$1000,$A182,Tasks!$A$5:$A$1000,"&lt;&gt;",Tasks!$D$5:$D$1000,"Done")/COUNTIFS(Tasks!$B$5:$B$1000,$A182,Tasks!$A$5:$A$1000,"&lt;&gt;")))</f>
        <v/>
      </c>
      <c r="K182" s="11" t="str">
        <f>IF(OR($A182="",$F182=""),"",$F182-Overview!$B$3)</f>
        <v/>
      </c>
    </row>
    <row r="183" spans="4:11" x14ac:dyDescent="0.25">
      <c r="D183" s="18" t="str">
        <f>IF($C183="","",IFERROR(INDEX(Clients!$B$5:$B$1000,MATCH($C183,Clients!$A$5:$A$1000,0)),"Unknown client ID"))</f>
        <v/>
      </c>
      <c r="E183" s="16"/>
      <c r="F183" s="16"/>
      <c r="G183" s="17"/>
      <c r="J183" s="12" t="str">
        <f>IF($A183="","",IF(COUNTIFS(Tasks!$B$5:$B$1000,$A183,Tasks!$A$5:$A$1000,"&lt;&gt;")=0,0,COUNTIFS(Tasks!$B$5:$B$1000,$A183,Tasks!$A$5:$A$1000,"&lt;&gt;",Tasks!$D$5:$D$1000,"Done")/COUNTIFS(Tasks!$B$5:$B$1000,$A183,Tasks!$A$5:$A$1000,"&lt;&gt;")))</f>
        <v/>
      </c>
      <c r="K183" s="11" t="str">
        <f>IF(OR($A183="",$F183=""),"",$F183-Overview!$B$3)</f>
        <v/>
      </c>
    </row>
    <row r="184" spans="4:11" x14ac:dyDescent="0.25">
      <c r="D184" s="18" t="str">
        <f>IF($C184="","",IFERROR(INDEX(Clients!$B$5:$B$1000,MATCH($C184,Clients!$A$5:$A$1000,0)),"Unknown client ID"))</f>
        <v/>
      </c>
      <c r="E184" s="16"/>
      <c r="F184" s="16"/>
      <c r="G184" s="17"/>
      <c r="J184" s="12" t="str">
        <f>IF($A184="","",IF(COUNTIFS(Tasks!$B$5:$B$1000,$A184,Tasks!$A$5:$A$1000,"&lt;&gt;")=0,0,COUNTIFS(Tasks!$B$5:$B$1000,$A184,Tasks!$A$5:$A$1000,"&lt;&gt;",Tasks!$D$5:$D$1000,"Done")/COUNTIFS(Tasks!$B$5:$B$1000,$A184,Tasks!$A$5:$A$1000,"&lt;&gt;")))</f>
        <v/>
      </c>
      <c r="K184" s="11" t="str">
        <f>IF(OR($A184="",$F184=""),"",$F184-Overview!$B$3)</f>
        <v/>
      </c>
    </row>
    <row r="185" spans="4:11" x14ac:dyDescent="0.25">
      <c r="D185" s="18" t="str">
        <f>IF($C185="","",IFERROR(INDEX(Clients!$B$5:$B$1000,MATCH($C185,Clients!$A$5:$A$1000,0)),"Unknown client ID"))</f>
        <v/>
      </c>
      <c r="E185" s="16"/>
      <c r="F185" s="16"/>
      <c r="G185" s="17"/>
      <c r="J185" s="12" t="str">
        <f>IF($A185="","",IF(COUNTIFS(Tasks!$B$5:$B$1000,$A185,Tasks!$A$5:$A$1000,"&lt;&gt;")=0,0,COUNTIFS(Tasks!$B$5:$B$1000,$A185,Tasks!$A$5:$A$1000,"&lt;&gt;",Tasks!$D$5:$D$1000,"Done")/COUNTIFS(Tasks!$B$5:$B$1000,$A185,Tasks!$A$5:$A$1000,"&lt;&gt;")))</f>
        <v/>
      </c>
      <c r="K185" s="11" t="str">
        <f>IF(OR($A185="",$F185=""),"",$F185-Overview!$B$3)</f>
        <v/>
      </c>
    </row>
    <row r="186" spans="4:11" x14ac:dyDescent="0.25">
      <c r="D186" s="18" t="str">
        <f>IF($C186="","",IFERROR(INDEX(Clients!$B$5:$B$1000,MATCH($C186,Clients!$A$5:$A$1000,0)),"Unknown client ID"))</f>
        <v/>
      </c>
      <c r="E186" s="16"/>
      <c r="F186" s="16"/>
      <c r="G186" s="17"/>
      <c r="J186" s="12" t="str">
        <f>IF($A186="","",IF(COUNTIFS(Tasks!$B$5:$B$1000,$A186,Tasks!$A$5:$A$1000,"&lt;&gt;")=0,0,COUNTIFS(Tasks!$B$5:$B$1000,$A186,Tasks!$A$5:$A$1000,"&lt;&gt;",Tasks!$D$5:$D$1000,"Done")/COUNTIFS(Tasks!$B$5:$B$1000,$A186,Tasks!$A$5:$A$1000,"&lt;&gt;")))</f>
        <v/>
      </c>
      <c r="K186" s="11" t="str">
        <f>IF(OR($A186="",$F186=""),"",$F186-Overview!$B$3)</f>
        <v/>
      </c>
    </row>
    <row r="187" spans="4:11" x14ac:dyDescent="0.25">
      <c r="D187" s="18" t="str">
        <f>IF($C187="","",IFERROR(INDEX(Clients!$B$5:$B$1000,MATCH($C187,Clients!$A$5:$A$1000,0)),"Unknown client ID"))</f>
        <v/>
      </c>
      <c r="E187" s="16"/>
      <c r="F187" s="16"/>
      <c r="G187" s="17"/>
      <c r="J187" s="12" t="str">
        <f>IF($A187="","",IF(COUNTIFS(Tasks!$B$5:$B$1000,$A187,Tasks!$A$5:$A$1000,"&lt;&gt;")=0,0,COUNTIFS(Tasks!$B$5:$B$1000,$A187,Tasks!$A$5:$A$1000,"&lt;&gt;",Tasks!$D$5:$D$1000,"Done")/COUNTIFS(Tasks!$B$5:$B$1000,$A187,Tasks!$A$5:$A$1000,"&lt;&gt;")))</f>
        <v/>
      </c>
      <c r="K187" s="11" t="str">
        <f>IF(OR($A187="",$F187=""),"",$F187-Overview!$B$3)</f>
        <v/>
      </c>
    </row>
    <row r="188" spans="4:11" x14ac:dyDescent="0.25">
      <c r="D188" s="18" t="str">
        <f>IF($C188="","",IFERROR(INDEX(Clients!$B$5:$B$1000,MATCH($C188,Clients!$A$5:$A$1000,0)),"Unknown client ID"))</f>
        <v/>
      </c>
      <c r="E188" s="16"/>
      <c r="F188" s="16"/>
      <c r="G188" s="17"/>
      <c r="J188" s="12" t="str">
        <f>IF($A188="","",IF(COUNTIFS(Tasks!$B$5:$B$1000,$A188,Tasks!$A$5:$A$1000,"&lt;&gt;")=0,0,COUNTIFS(Tasks!$B$5:$B$1000,$A188,Tasks!$A$5:$A$1000,"&lt;&gt;",Tasks!$D$5:$D$1000,"Done")/COUNTIFS(Tasks!$B$5:$B$1000,$A188,Tasks!$A$5:$A$1000,"&lt;&gt;")))</f>
        <v/>
      </c>
      <c r="K188" s="11" t="str">
        <f>IF(OR($A188="",$F188=""),"",$F188-Overview!$B$3)</f>
        <v/>
      </c>
    </row>
    <row r="189" spans="4:11" x14ac:dyDescent="0.25">
      <c r="D189" s="18" t="str">
        <f>IF($C189="","",IFERROR(INDEX(Clients!$B$5:$B$1000,MATCH($C189,Clients!$A$5:$A$1000,0)),"Unknown client ID"))</f>
        <v/>
      </c>
      <c r="E189" s="16"/>
      <c r="F189" s="16"/>
      <c r="G189" s="17"/>
      <c r="J189" s="12" t="str">
        <f>IF($A189="","",IF(COUNTIFS(Tasks!$B$5:$B$1000,$A189,Tasks!$A$5:$A$1000,"&lt;&gt;")=0,0,COUNTIFS(Tasks!$B$5:$B$1000,$A189,Tasks!$A$5:$A$1000,"&lt;&gt;",Tasks!$D$5:$D$1000,"Done")/COUNTIFS(Tasks!$B$5:$B$1000,$A189,Tasks!$A$5:$A$1000,"&lt;&gt;")))</f>
        <v/>
      </c>
      <c r="K189" s="11" t="str">
        <f>IF(OR($A189="",$F189=""),"",$F189-Overview!$B$3)</f>
        <v/>
      </c>
    </row>
    <row r="190" spans="4:11" x14ac:dyDescent="0.25">
      <c r="D190" s="18" t="str">
        <f>IF($C190="","",IFERROR(INDEX(Clients!$B$5:$B$1000,MATCH($C190,Clients!$A$5:$A$1000,0)),"Unknown client ID"))</f>
        <v/>
      </c>
      <c r="E190" s="16"/>
      <c r="F190" s="16"/>
      <c r="G190" s="17"/>
      <c r="J190" s="12" t="str">
        <f>IF($A190="","",IF(COUNTIFS(Tasks!$B$5:$B$1000,$A190,Tasks!$A$5:$A$1000,"&lt;&gt;")=0,0,COUNTIFS(Tasks!$B$5:$B$1000,$A190,Tasks!$A$5:$A$1000,"&lt;&gt;",Tasks!$D$5:$D$1000,"Done")/COUNTIFS(Tasks!$B$5:$B$1000,$A190,Tasks!$A$5:$A$1000,"&lt;&gt;")))</f>
        <v/>
      </c>
      <c r="K190" s="11" t="str">
        <f>IF(OR($A190="",$F190=""),"",$F190-Overview!$B$3)</f>
        <v/>
      </c>
    </row>
    <row r="191" spans="4:11" x14ac:dyDescent="0.25">
      <c r="D191" s="18" t="str">
        <f>IF($C191="","",IFERROR(INDEX(Clients!$B$5:$B$1000,MATCH($C191,Clients!$A$5:$A$1000,0)),"Unknown client ID"))</f>
        <v/>
      </c>
      <c r="E191" s="16"/>
      <c r="F191" s="16"/>
      <c r="G191" s="17"/>
      <c r="J191" s="12" t="str">
        <f>IF($A191="","",IF(COUNTIFS(Tasks!$B$5:$B$1000,$A191,Tasks!$A$5:$A$1000,"&lt;&gt;")=0,0,COUNTIFS(Tasks!$B$5:$B$1000,$A191,Tasks!$A$5:$A$1000,"&lt;&gt;",Tasks!$D$5:$D$1000,"Done")/COUNTIFS(Tasks!$B$5:$B$1000,$A191,Tasks!$A$5:$A$1000,"&lt;&gt;")))</f>
        <v/>
      </c>
      <c r="K191" s="11" t="str">
        <f>IF(OR($A191="",$F191=""),"",$F191-Overview!$B$3)</f>
        <v/>
      </c>
    </row>
    <row r="192" spans="4:11" x14ac:dyDescent="0.25">
      <c r="D192" s="18" t="str">
        <f>IF($C192="","",IFERROR(INDEX(Clients!$B$5:$B$1000,MATCH($C192,Clients!$A$5:$A$1000,0)),"Unknown client ID"))</f>
        <v/>
      </c>
      <c r="E192" s="16"/>
      <c r="F192" s="16"/>
      <c r="G192" s="17"/>
      <c r="J192" s="12" t="str">
        <f>IF($A192="","",IF(COUNTIFS(Tasks!$B$5:$B$1000,$A192,Tasks!$A$5:$A$1000,"&lt;&gt;")=0,0,COUNTIFS(Tasks!$B$5:$B$1000,$A192,Tasks!$A$5:$A$1000,"&lt;&gt;",Tasks!$D$5:$D$1000,"Done")/COUNTIFS(Tasks!$B$5:$B$1000,$A192,Tasks!$A$5:$A$1000,"&lt;&gt;")))</f>
        <v/>
      </c>
      <c r="K192" s="11" t="str">
        <f>IF(OR($A192="",$F192=""),"",$F192-Overview!$B$3)</f>
        <v/>
      </c>
    </row>
    <row r="193" spans="4:11" x14ac:dyDescent="0.25">
      <c r="D193" s="18" t="str">
        <f>IF($C193="","",IFERROR(INDEX(Clients!$B$5:$B$1000,MATCH($C193,Clients!$A$5:$A$1000,0)),"Unknown client ID"))</f>
        <v/>
      </c>
      <c r="E193" s="16"/>
      <c r="F193" s="16"/>
      <c r="G193" s="17"/>
      <c r="J193" s="12" t="str">
        <f>IF($A193="","",IF(COUNTIFS(Tasks!$B$5:$B$1000,$A193,Tasks!$A$5:$A$1000,"&lt;&gt;")=0,0,COUNTIFS(Tasks!$B$5:$B$1000,$A193,Tasks!$A$5:$A$1000,"&lt;&gt;",Tasks!$D$5:$D$1000,"Done")/COUNTIFS(Tasks!$B$5:$B$1000,$A193,Tasks!$A$5:$A$1000,"&lt;&gt;")))</f>
        <v/>
      </c>
      <c r="K193" s="11" t="str">
        <f>IF(OR($A193="",$F193=""),"",$F193-Overview!$B$3)</f>
        <v/>
      </c>
    </row>
    <row r="194" spans="4:11" x14ac:dyDescent="0.25">
      <c r="D194" s="18" t="str">
        <f>IF($C194="","",IFERROR(INDEX(Clients!$B$5:$B$1000,MATCH($C194,Clients!$A$5:$A$1000,0)),"Unknown client ID"))</f>
        <v/>
      </c>
      <c r="E194" s="16"/>
      <c r="F194" s="16"/>
      <c r="G194" s="17"/>
      <c r="J194" s="12" t="str">
        <f>IF($A194="","",IF(COUNTIFS(Tasks!$B$5:$B$1000,$A194,Tasks!$A$5:$A$1000,"&lt;&gt;")=0,0,COUNTIFS(Tasks!$B$5:$B$1000,$A194,Tasks!$A$5:$A$1000,"&lt;&gt;",Tasks!$D$5:$D$1000,"Done")/COUNTIFS(Tasks!$B$5:$B$1000,$A194,Tasks!$A$5:$A$1000,"&lt;&gt;")))</f>
        <v/>
      </c>
      <c r="K194" s="11" t="str">
        <f>IF(OR($A194="",$F194=""),"",$F194-Overview!$B$3)</f>
        <v/>
      </c>
    </row>
    <row r="195" spans="4:11" x14ac:dyDescent="0.25">
      <c r="D195" s="18" t="str">
        <f>IF($C195="","",IFERROR(INDEX(Clients!$B$5:$B$1000,MATCH($C195,Clients!$A$5:$A$1000,0)),"Unknown client ID"))</f>
        <v/>
      </c>
      <c r="E195" s="16"/>
      <c r="F195" s="16"/>
      <c r="G195" s="17"/>
      <c r="J195" s="12" t="str">
        <f>IF($A195="","",IF(COUNTIFS(Tasks!$B$5:$B$1000,$A195,Tasks!$A$5:$A$1000,"&lt;&gt;")=0,0,COUNTIFS(Tasks!$B$5:$B$1000,$A195,Tasks!$A$5:$A$1000,"&lt;&gt;",Tasks!$D$5:$D$1000,"Done")/COUNTIFS(Tasks!$B$5:$B$1000,$A195,Tasks!$A$5:$A$1000,"&lt;&gt;")))</f>
        <v/>
      </c>
      <c r="K195" s="11" t="str">
        <f>IF(OR($A195="",$F195=""),"",$F195-Overview!$B$3)</f>
        <v/>
      </c>
    </row>
    <row r="196" spans="4:11" x14ac:dyDescent="0.25">
      <c r="D196" s="18" t="str">
        <f>IF($C196="","",IFERROR(INDEX(Clients!$B$5:$B$1000,MATCH($C196,Clients!$A$5:$A$1000,0)),"Unknown client ID"))</f>
        <v/>
      </c>
      <c r="E196" s="16"/>
      <c r="F196" s="16"/>
      <c r="G196" s="17"/>
      <c r="J196" s="12" t="str">
        <f>IF($A196="","",IF(COUNTIFS(Tasks!$B$5:$B$1000,$A196,Tasks!$A$5:$A$1000,"&lt;&gt;")=0,0,COUNTIFS(Tasks!$B$5:$B$1000,$A196,Tasks!$A$5:$A$1000,"&lt;&gt;",Tasks!$D$5:$D$1000,"Done")/COUNTIFS(Tasks!$B$5:$B$1000,$A196,Tasks!$A$5:$A$1000,"&lt;&gt;")))</f>
        <v/>
      </c>
      <c r="K196" s="11" t="str">
        <f>IF(OR($A196="",$F196=""),"",$F196-Overview!$B$3)</f>
        <v/>
      </c>
    </row>
    <row r="197" spans="4:11" x14ac:dyDescent="0.25">
      <c r="D197" s="18" t="str">
        <f>IF($C197="","",IFERROR(INDEX(Clients!$B$5:$B$1000,MATCH($C197,Clients!$A$5:$A$1000,0)),"Unknown client ID"))</f>
        <v/>
      </c>
      <c r="E197" s="16"/>
      <c r="F197" s="16"/>
      <c r="G197" s="17"/>
      <c r="J197" s="12" t="str">
        <f>IF($A197="","",IF(COUNTIFS(Tasks!$B$5:$B$1000,$A197,Tasks!$A$5:$A$1000,"&lt;&gt;")=0,0,COUNTIFS(Tasks!$B$5:$B$1000,$A197,Tasks!$A$5:$A$1000,"&lt;&gt;",Tasks!$D$5:$D$1000,"Done")/COUNTIFS(Tasks!$B$5:$B$1000,$A197,Tasks!$A$5:$A$1000,"&lt;&gt;")))</f>
        <v/>
      </c>
      <c r="K197" s="11" t="str">
        <f>IF(OR($A197="",$F197=""),"",$F197-Overview!$B$3)</f>
        <v/>
      </c>
    </row>
    <row r="198" spans="4:11" x14ac:dyDescent="0.25">
      <c r="D198" s="18" t="str">
        <f>IF($C198="","",IFERROR(INDEX(Clients!$B$5:$B$1000,MATCH($C198,Clients!$A$5:$A$1000,0)),"Unknown client ID"))</f>
        <v/>
      </c>
      <c r="E198" s="16"/>
      <c r="F198" s="16"/>
      <c r="G198" s="17"/>
      <c r="J198" s="12" t="str">
        <f>IF($A198="","",IF(COUNTIFS(Tasks!$B$5:$B$1000,$A198,Tasks!$A$5:$A$1000,"&lt;&gt;")=0,0,COUNTIFS(Tasks!$B$5:$B$1000,$A198,Tasks!$A$5:$A$1000,"&lt;&gt;",Tasks!$D$5:$D$1000,"Done")/COUNTIFS(Tasks!$B$5:$B$1000,$A198,Tasks!$A$5:$A$1000,"&lt;&gt;")))</f>
        <v/>
      </c>
      <c r="K198" s="11" t="str">
        <f>IF(OR($A198="",$F198=""),"",$F198-Overview!$B$3)</f>
        <v/>
      </c>
    </row>
    <row r="199" spans="4:11" x14ac:dyDescent="0.25">
      <c r="D199" s="18" t="str">
        <f>IF($C199="","",IFERROR(INDEX(Clients!$B$5:$B$1000,MATCH($C199,Clients!$A$5:$A$1000,0)),"Unknown client ID"))</f>
        <v/>
      </c>
      <c r="E199" s="16"/>
      <c r="F199" s="16"/>
      <c r="G199" s="17"/>
      <c r="J199" s="12" t="str">
        <f>IF($A199="","",IF(COUNTIFS(Tasks!$B$5:$B$1000,$A199,Tasks!$A$5:$A$1000,"&lt;&gt;")=0,0,COUNTIFS(Tasks!$B$5:$B$1000,$A199,Tasks!$A$5:$A$1000,"&lt;&gt;",Tasks!$D$5:$D$1000,"Done")/COUNTIFS(Tasks!$B$5:$B$1000,$A199,Tasks!$A$5:$A$1000,"&lt;&gt;")))</f>
        <v/>
      </c>
      <c r="K199" s="11" t="str">
        <f>IF(OR($A199="",$F199=""),"",$F199-Overview!$B$3)</f>
        <v/>
      </c>
    </row>
    <row r="200" spans="4:11" x14ac:dyDescent="0.25">
      <c r="D200" s="18" t="str">
        <f>IF($C200="","",IFERROR(INDEX(Clients!$B$5:$B$1000,MATCH($C200,Clients!$A$5:$A$1000,0)),"Unknown client ID"))</f>
        <v/>
      </c>
      <c r="E200" s="16"/>
      <c r="F200" s="16"/>
      <c r="G200" s="17"/>
      <c r="J200" s="12" t="str">
        <f>IF($A200="","",IF(COUNTIFS(Tasks!$B$5:$B$1000,$A200,Tasks!$A$5:$A$1000,"&lt;&gt;")=0,0,COUNTIFS(Tasks!$B$5:$B$1000,$A200,Tasks!$A$5:$A$1000,"&lt;&gt;",Tasks!$D$5:$D$1000,"Done")/COUNTIFS(Tasks!$B$5:$B$1000,$A200,Tasks!$A$5:$A$1000,"&lt;&gt;")))</f>
        <v/>
      </c>
      <c r="K200" s="11" t="str">
        <f>IF(OR($A200="",$F200=""),"",$F200-Overview!$B$3)</f>
        <v/>
      </c>
    </row>
    <row r="201" spans="4:11" x14ac:dyDescent="0.25">
      <c r="D201" s="18" t="str">
        <f>IF($C201="","",IFERROR(INDEX(Clients!$B$5:$B$1000,MATCH($C201,Clients!$A$5:$A$1000,0)),"Unknown client ID"))</f>
        <v/>
      </c>
      <c r="E201" s="16"/>
      <c r="F201" s="16"/>
      <c r="G201" s="17"/>
      <c r="J201" s="12" t="str">
        <f>IF($A201="","",IF(COUNTIFS(Tasks!$B$5:$B$1000,$A201,Tasks!$A$5:$A$1000,"&lt;&gt;")=0,0,COUNTIFS(Tasks!$B$5:$B$1000,$A201,Tasks!$A$5:$A$1000,"&lt;&gt;",Tasks!$D$5:$D$1000,"Done")/COUNTIFS(Tasks!$B$5:$B$1000,$A201,Tasks!$A$5:$A$1000,"&lt;&gt;")))</f>
        <v/>
      </c>
      <c r="K201" s="11" t="str">
        <f>IF(OR($A201="",$F201=""),"",$F201-Overview!$B$3)</f>
        <v/>
      </c>
    </row>
    <row r="202" spans="4:11" x14ac:dyDescent="0.25">
      <c r="D202" s="18" t="str">
        <f>IF($C202="","",IFERROR(INDEX(Clients!$B$5:$B$1000,MATCH($C202,Clients!$A$5:$A$1000,0)),"Unknown client ID"))</f>
        <v/>
      </c>
      <c r="E202" s="16"/>
      <c r="F202" s="16"/>
      <c r="G202" s="17"/>
      <c r="J202" s="12" t="str">
        <f>IF($A202="","",IF(COUNTIFS(Tasks!$B$5:$B$1000,$A202,Tasks!$A$5:$A$1000,"&lt;&gt;")=0,0,COUNTIFS(Tasks!$B$5:$B$1000,$A202,Tasks!$A$5:$A$1000,"&lt;&gt;",Tasks!$D$5:$D$1000,"Done")/COUNTIFS(Tasks!$B$5:$B$1000,$A202,Tasks!$A$5:$A$1000,"&lt;&gt;")))</f>
        <v/>
      </c>
      <c r="K202" s="11" t="str">
        <f>IF(OR($A202="",$F202=""),"",$F202-Overview!$B$3)</f>
        <v/>
      </c>
    </row>
    <row r="203" spans="4:11" x14ac:dyDescent="0.25">
      <c r="D203" s="18" t="str">
        <f>IF($C203="","",IFERROR(INDEX(Clients!$B$5:$B$1000,MATCH($C203,Clients!$A$5:$A$1000,0)),"Unknown client ID"))</f>
        <v/>
      </c>
      <c r="E203" s="16"/>
      <c r="F203" s="16"/>
      <c r="G203" s="17"/>
      <c r="J203" s="12" t="str">
        <f>IF($A203="","",IF(COUNTIFS(Tasks!$B$5:$B$1000,$A203,Tasks!$A$5:$A$1000,"&lt;&gt;")=0,0,COUNTIFS(Tasks!$B$5:$B$1000,$A203,Tasks!$A$5:$A$1000,"&lt;&gt;",Tasks!$D$5:$D$1000,"Done")/COUNTIFS(Tasks!$B$5:$B$1000,$A203,Tasks!$A$5:$A$1000,"&lt;&gt;")))</f>
        <v/>
      </c>
      <c r="K203" s="11" t="str">
        <f>IF(OR($A203="",$F203=""),"",$F203-Overview!$B$3)</f>
        <v/>
      </c>
    </row>
    <row r="204" spans="4:11" x14ac:dyDescent="0.25">
      <c r="D204" s="18" t="str">
        <f>IF($C204="","",IFERROR(INDEX(Clients!$B$5:$B$1000,MATCH($C204,Clients!$A$5:$A$1000,0)),"Unknown client ID"))</f>
        <v/>
      </c>
      <c r="E204" s="16"/>
      <c r="F204" s="16"/>
      <c r="G204" s="17"/>
      <c r="J204" s="12" t="str">
        <f>IF($A204="","",IF(COUNTIFS(Tasks!$B$5:$B$1000,$A204,Tasks!$A$5:$A$1000,"&lt;&gt;")=0,0,COUNTIFS(Tasks!$B$5:$B$1000,$A204,Tasks!$A$5:$A$1000,"&lt;&gt;",Tasks!$D$5:$D$1000,"Done")/COUNTIFS(Tasks!$B$5:$B$1000,$A204,Tasks!$A$5:$A$1000,"&lt;&gt;")))</f>
        <v/>
      </c>
      <c r="K204" s="11" t="str">
        <f>IF(OR($A204="",$F204=""),"",$F204-Overview!$B$3)</f>
        <v/>
      </c>
    </row>
    <row r="205" spans="4:11" x14ac:dyDescent="0.25">
      <c r="D205" s="18" t="str">
        <f>IF($C205="","",IFERROR(INDEX(Clients!$B$5:$B$1000,MATCH($C205,Clients!$A$5:$A$1000,0)),"Unknown client ID"))</f>
        <v/>
      </c>
      <c r="E205" s="16"/>
      <c r="F205" s="16"/>
      <c r="G205" s="17"/>
      <c r="J205" s="12" t="str">
        <f>IF($A205="","",IF(COUNTIFS(Tasks!$B$5:$B$1000,$A205,Tasks!$A$5:$A$1000,"&lt;&gt;")=0,0,COUNTIFS(Tasks!$B$5:$B$1000,$A205,Tasks!$A$5:$A$1000,"&lt;&gt;",Tasks!$D$5:$D$1000,"Done")/COUNTIFS(Tasks!$B$5:$B$1000,$A205,Tasks!$A$5:$A$1000,"&lt;&gt;")))</f>
        <v/>
      </c>
      <c r="K205" s="11" t="str">
        <f>IF(OR($A205="",$F205=""),"",$F205-Overview!$B$3)</f>
        <v/>
      </c>
    </row>
    <row r="206" spans="4:11" x14ac:dyDescent="0.25">
      <c r="D206" s="18" t="str">
        <f>IF($C206="","",IFERROR(INDEX(Clients!$B$5:$B$1000,MATCH($C206,Clients!$A$5:$A$1000,0)),"Unknown client ID"))</f>
        <v/>
      </c>
      <c r="E206" s="16"/>
      <c r="F206" s="16"/>
      <c r="G206" s="17"/>
      <c r="J206" s="12" t="str">
        <f>IF($A206="","",IF(COUNTIFS(Tasks!$B$5:$B$1000,$A206,Tasks!$A$5:$A$1000,"&lt;&gt;")=0,0,COUNTIFS(Tasks!$B$5:$B$1000,$A206,Tasks!$A$5:$A$1000,"&lt;&gt;",Tasks!$D$5:$D$1000,"Done")/COUNTIFS(Tasks!$B$5:$B$1000,$A206,Tasks!$A$5:$A$1000,"&lt;&gt;")))</f>
        <v/>
      </c>
      <c r="K206" s="11" t="str">
        <f>IF(OR($A206="",$F206=""),"",$F206-Overview!$B$3)</f>
        <v/>
      </c>
    </row>
    <row r="207" spans="4:11" x14ac:dyDescent="0.25">
      <c r="D207" s="18" t="str">
        <f>IF($C207="","",IFERROR(INDEX(Clients!$B$5:$B$1000,MATCH($C207,Clients!$A$5:$A$1000,0)),"Unknown client ID"))</f>
        <v/>
      </c>
      <c r="E207" s="16"/>
      <c r="F207" s="16"/>
      <c r="G207" s="17"/>
      <c r="J207" s="12" t="str">
        <f>IF($A207="","",IF(COUNTIFS(Tasks!$B$5:$B$1000,$A207,Tasks!$A$5:$A$1000,"&lt;&gt;")=0,0,COUNTIFS(Tasks!$B$5:$B$1000,$A207,Tasks!$A$5:$A$1000,"&lt;&gt;",Tasks!$D$5:$D$1000,"Done")/COUNTIFS(Tasks!$B$5:$B$1000,$A207,Tasks!$A$5:$A$1000,"&lt;&gt;")))</f>
        <v/>
      </c>
      <c r="K207" s="11" t="str">
        <f>IF(OR($A207="",$F207=""),"",$F207-Overview!$B$3)</f>
        <v/>
      </c>
    </row>
    <row r="208" spans="4:11" x14ac:dyDescent="0.25">
      <c r="D208" s="18" t="str">
        <f>IF($C208="","",IFERROR(INDEX(Clients!$B$5:$B$1000,MATCH($C208,Clients!$A$5:$A$1000,0)),"Unknown client ID"))</f>
        <v/>
      </c>
      <c r="E208" s="16"/>
      <c r="F208" s="16"/>
      <c r="G208" s="17"/>
      <c r="J208" s="12" t="str">
        <f>IF($A208="","",IF(COUNTIFS(Tasks!$B$5:$B$1000,$A208,Tasks!$A$5:$A$1000,"&lt;&gt;")=0,0,COUNTIFS(Tasks!$B$5:$B$1000,$A208,Tasks!$A$5:$A$1000,"&lt;&gt;",Tasks!$D$5:$D$1000,"Done")/COUNTIFS(Tasks!$B$5:$B$1000,$A208,Tasks!$A$5:$A$1000,"&lt;&gt;")))</f>
        <v/>
      </c>
      <c r="K208" s="11" t="str">
        <f>IF(OR($A208="",$F208=""),"",$F208-Overview!$B$3)</f>
        <v/>
      </c>
    </row>
    <row r="209" spans="4:11" x14ac:dyDescent="0.25">
      <c r="D209" s="18" t="str">
        <f>IF($C209="","",IFERROR(INDEX(Clients!$B$5:$B$1000,MATCH($C209,Clients!$A$5:$A$1000,0)),"Unknown client ID"))</f>
        <v/>
      </c>
      <c r="E209" s="16"/>
      <c r="F209" s="16"/>
      <c r="G209" s="17"/>
      <c r="J209" s="12" t="str">
        <f>IF($A209="","",IF(COUNTIFS(Tasks!$B$5:$B$1000,$A209,Tasks!$A$5:$A$1000,"&lt;&gt;")=0,0,COUNTIFS(Tasks!$B$5:$B$1000,$A209,Tasks!$A$5:$A$1000,"&lt;&gt;",Tasks!$D$5:$D$1000,"Done")/COUNTIFS(Tasks!$B$5:$B$1000,$A209,Tasks!$A$5:$A$1000,"&lt;&gt;")))</f>
        <v/>
      </c>
      <c r="K209" s="11" t="str">
        <f>IF(OR($A209="",$F209=""),"",$F209-Overview!$B$3)</f>
        <v/>
      </c>
    </row>
    <row r="210" spans="4:11" x14ac:dyDescent="0.25">
      <c r="D210" s="18" t="str">
        <f>IF($C210="","",IFERROR(INDEX(Clients!$B$5:$B$1000,MATCH($C210,Clients!$A$5:$A$1000,0)),"Unknown client ID"))</f>
        <v/>
      </c>
      <c r="E210" s="16"/>
      <c r="F210" s="16"/>
      <c r="G210" s="17"/>
      <c r="J210" s="12" t="str">
        <f>IF($A210="","",IF(COUNTIFS(Tasks!$B$5:$B$1000,$A210,Tasks!$A$5:$A$1000,"&lt;&gt;")=0,0,COUNTIFS(Tasks!$B$5:$B$1000,$A210,Tasks!$A$5:$A$1000,"&lt;&gt;",Tasks!$D$5:$D$1000,"Done")/COUNTIFS(Tasks!$B$5:$B$1000,$A210,Tasks!$A$5:$A$1000,"&lt;&gt;")))</f>
        <v/>
      </c>
      <c r="K210" s="11" t="str">
        <f>IF(OR($A210="",$F210=""),"",$F210-Overview!$B$3)</f>
        <v/>
      </c>
    </row>
    <row r="211" spans="4:11" x14ac:dyDescent="0.25">
      <c r="D211" s="18" t="str">
        <f>IF($C211="","",IFERROR(INDEX(Clients!$B$5:$B$1000,MATCH($C211,Clients!$A$5:$A$1000,0)),"Unknown client ID"))</f>
        <v/>
      </c>
      <c r="E211" s="16"/>
      <c r="F211" s="16"/>
      <c r="G211" s="17"/>
      <c r="J211" s="12" t="str">
        <f>IF($A211="","",IF(COUNTIFS(Tasks!$B$5:$B$1000,$A211,Tasks!$A$5:$A$1000,"&lt;&gt;")=0,0,COUNTIFS(Tasks!$B$5:$B$1000,$A211,Tasks!$A$5:$A$1000,"&lt;&gt;",Tasks!$D$5:$D$1000,"Done")/COUNTIFS(Tasks!$B$5:$B$1000,$A211,Tasks!$A$5:$A$1000,"&lt;&gt;")))</f>
        <v/>
      </c>
      <c r="K211" s="11" t="str">
        <f>IF(OR($A211="",$F211=""),"",$F211-Overview!$B$3)</f>
        <v/>
      </c>
    </row>
    <row r="212" spans="4:11" x14ac:dyDescent="0.25">
      <c r="D212" s="18" t="str">
        <f>IF($C212="","",IFERROR(INDEX(Clients!$B$5:$B$1000,MATCH($C212,Clients!$A$5:$A$1000,0)),"Unknown client ID"))</f>
        <v/>
      </c>
      <c r="E212" s="16"/>
      <c r="F212" s="16"/>
      <c r="G212" s="17"/>
      <c r="J212" s="12" t="str">
        <f>IF($A212="","",IF(COUNTIFS(Tasks!$B$5:$B$1000,$A212,Tasks!$A$5:$A$1000,"&lt;&gt;")=0,0,COUNTIFS(Tasks!$B$5:$B$1000,$A212,Tasks!$A$5:$A$1000,"&lt;&gt;",Tasks!$D$5:$D$1000,"Done")/COUNTIFS(Tasks!$B$5:$B$1000,$A212,Tasks!$A$5:$A$1000,"&lt;&gt;")))</f>
        <v/>
      </c>
      <c r="K212" s="11" t="str">
        <f>IF(OR($A212="",$F212=""),"",$F212-Overview!$B$3)</f>
        <v/>
      </c>
    </row>
    <row r="213" spans="4:11" x14ac:dyDescent="0.25">
      <c r="D213" s="18" t="str">
        <f>IF($C213="","",IFERROR(INDEX(Clients!$B$5:$B$1000,MATCH($C213,Clients!$A$5:$A$1000,0)),"Unknown client ID"))</f>
        <v/>
      </c>
      <c r="E213" s="16"/>
      <c r="F213" s="16"/>
      <c r="G213" s="17"/>
      <c r="J213" s="12" t="str">
        <f>IF($A213="","",IF(COUNTIFS(Tasks!$B$5:$B$1000,$A213,Tasks!$A$5:$A$1000,"&lt;&gt;")=0,0,COUNTIFS(Tasks!$B$5:$B$1000,$A213,Tasks!$A$5:$A$1000,"&lt;&gt;",Tasks!$D$5:$D$1000,"Done")/COUNTIFS(Tasks!$B$5:$B$1000,$A213,Tasks!$A$5:$A$1000,"&lt;&gt;")))</f>
        <v/>
      </c>
      <c r="K213" s="11" t="str">
        <f>IF(OR($A213="",$F213=""),"",$F213-Overview!$B$3)</f>
        <v/>
      </c>
    </row>
    <row r="214" spans="4:11" x14ac:dyDescent="0.25">
      <c r="D214" s="18" t="str">
        <f>IF($C214="","",IFERROR(INDEX(Clients!$B$5:$B$1000,MATCH($C214,Clients!$A$5:$A$1000,0)),"Unknown client ID"))</f>
        <v/>
      </c>
      <c r="E214" s="16"/>
      <c r="F214" s="16"/>
      <c r="G214" s="17"/>
      <c r="J214" s="12" t="str">
        <f>IF($A214="","",IF(COUNTIFS(Tasks!$B$5:$B$1000,$A214,Tasks!$A$5:$A$1000,"&lt;&gt;")=0,0,COUNTIFS(Tasks!$B$5:$B$1000,$A214,Tasks!$A$5:$A$1000,"&lt;&gt;",Tasks!$D$5:$D$1000,"Done")/COUNTIFS(Tasks!$B$5:$B$1000,$A214,Tasks!$A$5:$A$1000,"&lt;&gt;")))</f>
        <v/>
      </c>
      <c r="K214" s="11" t="str">
        <f>IF(OR($A214="",$F214=""),"",$F214-Overview!$B$3)</f>
        <v/>
      </c>
    </row>
    <row r="215" spans="4:11" x14ac:dyDescent="0.25">
      <c r="D215" s="18" t="str">
        <f>IF($C215="","",IFERROR(INDEX(Clients!$B$5:$B$1000,MATCH($C215,Clients!$A$5:$A$1000,0)),"Unknown client ID"))</f>
        <v/>
      </c>
      <c r="E215" s="16"/>
      <c r="F215" s="16"/>
      <c r="G215" s="17"/>
      <c r="J215" s="12" t="str">
        <f>IF($A215="","",IF(COUNTIFS(Tasks!$B$5:$B$1000,$A215,Tasks!$A$5:$A$1000,"&lt;&gt;")=0,0,COUNTIFS(Tasks!$B$5:$B$1000,$A215,Tasks!$A$5:$A$1000,"&lt;&gt;",Tasks!$D$5:$D$1000,"Done")/COUNTIFS(Tasks!$B$5:$B$1000,$A215,Tasks!$A$5:$A$1000,"&lt;&gt;")))</f>
        <v/>
      </c>
      <c r="K215" s="11" t="str">
        <f>IF(OR($A215="",$F215=""),"",$F215-Overview!$B$3)</f>
        <v/>
      </c>
    </row>
    <row r="216" spans="4:11" x14ac:dyDescent="0.25">
      <c r="D216" s="18" t="str">
        <f>IF($C216="","",IFERROR(INDEX(Clients!$B$5:$B$1000,MATCH($C216,Clients!$A$5:$A$1000,0)),"Unknown client ID"))</f>
        <v/>
      </c>
      <c r="E216" s="16"/>
      <c r="F216" s="16"/>
      <c r="G216" s="17"/>
      <c r="J216" s="12" t="str">
        <f>IF($A216="","",IF(COUNTIFS(Tasks!$B$5:$B$1000,$A216,Tasks!$A$5:$A$1000,"&lt;&gt;")=0,0,COUNTIFS(Tasks!$B$5:$B$1000,$A216,Tasks!$A$5:$A$1000,"&lt;&gt;",Tasks!$D$5:$D$1000,"Done")/COUNTIFS(Tasks!$B$5:$B$1000,$A216,Tasks!$A$5:$A$1000,"&lt;&gt;")))</f>
        <v/>
      </c>
      <c r="K216" s="11" t="str">
        <f>IF(OR($A216="",$F216=""),"",$F216-Overview!$B$3)</f>
        <v/>
      </c>
    </row>
    <row r="217" spans="4:11" x14ac:dyDescent="0.25">
      <c r="D217" s="18" t="str">
        <f>IF($C217="","",IFERROR(INDEX(Clients!$B$5:$B$1000,MATCH($C217,Clients!$A$5:$A$1000,0)),"Unknown client ID"))</f>
        <v/>
      </c>
      <c r="E217" s="16"/>
      <c r="F217" s="16"/>
      <c r="G217" s="17"/>
      <c r="J217" s="12" t="str">
        <f>IF($A217="","",IF(COUNTIFS(Tasks!$B$5:$B$1000,$A217,Tasks!$A$5:$A$1000,"&lt;&gt;")=0,0,COUNTIFS(Tasks!$B$5:$B$1000,$A217,Tasks!$A$5:$A$1000,"&lt;&gt;",Tasks!$D$5:$D$1000,"Done")/COUNTIFS(Tasks!$B$5:$B$1000,$A217,Tasks!$A$5:$A$1000,"&lt;&gt;")))</f>
        <v/>
      </c>
      <c r="K217" s="11" t="str">
        <f>IF(OR($A217="",$F217=""),"",$F217-Overview!$B$3)</f>
        <v/>
      </c>
    </row>
    <row r="218" spans="4:11" x14ac:dyDescent="0.25">
      <c r="D218" s="18" t="str">
        <f>IF($C218="","",IFERROR(INDEX(Clients!$B$5:$B$1000,MATCH($C218,Clients!$A$5:$A$1000,0)),"Unknown client ID"))</f>
        <v/>
      </c>
      <c r="E218" s="16"/>
      <c r="F218" s="16"/>
      <c r="G218" s="17"/>
      <c r="J218" s="12" t="str">
        <f>IF($A218="","",IF(COUNTIFS(Tasks!$B$5:$B$1000,$A218,Tasks!$A$5:$A$1000,"&lt;&gt;")=0,0,COUNTIFS(Tasks!$B$5:$B$1000,$A218,Tasks!$A$5:$A$1000,"&lt;&gt;",Tasks!$D$5:$D$1000,"Done")/COUNTIFS(Tasks!$B$5:$B$1000,$A218,Tasks!$A$5:$A$1000,"&lt;&gt;")))</f>
        <v/>
      </c>
      <c r="K218" s="11" t="str">
        <f>IF(OR($A218="",$F218=""),"",$F218-Overview!$B$3)</f>
        <v/>
      </c>
    </row>
    <row r="219" spans="4:11" x14ac:dyDescent="0.25">
      <c r="D219" s="18" t="str">
        <f>IF($C219="","",IFERROR(INDEX(Clients!$B$5:$B$1000,MATCH($C219,Clients!$A$5:$A$1000,0)),"Unknown client ID"))</f>
        <v/>
      </c>
      <c r="E219" s="16"/>
      <c r="F219" s="16"/>
      <c r="G219" s="17"/>
      <c r="J219" s="12" t="str">
        <f>IF($A219="","",IF(COUNTIFS(Tasks!$B$5:$B$1000,$A219,Tasks!$A$5:$A$1000,"&lt;&gt;")=0,0,COUNTIFS(Tasks!$B$5:$B$1000,$A219,Tasks!$A$5:$A$1000,"&lt;&gt;",Tasks!$D$5:$D$1000,"Done")/COUNTIFS(Tasks!$B$5:$B$1000,$A219,Tasks!$A$5:$A$1000,"&lt;&gt;")))</f>
        <v/>
      </c>
      <c r="K219" s="11" t="str">
        <f>IF(OR($A219="",$F219=""),"",$F219-Overview!$B$3)</f>
        <v/>
      </c>
    </row>
    <row r="220" spans="4:11" x14ac:dyDescent="0.25">
      <c r="D220" s="18" t="str">
        <f>IF($C220="","",IFERROR(INDEX(Clients!$B$5:$B$1000,MATCH($C220,Clients!$A$5:$A$1000,0)),"Unknown client ID"))</f>
        <v/>
      </c>
      <c r="E220" s="16"/>
      <c r="F220" s="16"/>
      <c r="G220" s="17"/>
      <c r="J220" s="12" t="str">
        <f>IF($A220="","",IF(COUNTIFS(Tasks!$B$5:$B$1000,$A220,Tasks!$A$5:$A$1000,"&lt;&gt;")=0,0,COUNTIFS(Tasks!$B$5:$B$1000,$A220,Tasks!$A$5:$A$1000,"&lt;&gt;",Tasks!$D$5:$D$1000,"Done")/COUNTIFS(Tasks!$B$5:$B$1000,$A220,Tasks!$A$5:$A$1000,"&lt;&gt;")))</f>
        <v/>
      </c>
      <c r="K220" s="11" t="str">
        <f>IF(OR($A220="",$F220=""),"",$F220-Overview!$B$3)</f>
        <v/>
      </c>
    </row>
    <row r="221" spans="4:11" x14ac:dyDescent="0.25">
      <c r="D221" s="18" t="str">
        <f>IF($C221="","",IFERROR(INDEX(Clients!$B$5:$B$1000,MATCH($C221,Clients!$A$5:$A$1000,0)),"Unknown client ID"))</f>
        <v/>
      </c>
      <c r="E221" s="16"/>
      <c r="F221" s="16"/>
      <c r="G221" s="17"/>
      <c r="J221" s="12" t="str">
        <f>IF($A221="","",IF(COUNTIFS(Tasks!$B$5:$B$1000,$A221,Tasks!$A$5:$A$1000,"&lt;&gt;")=0,0,COUNTIFS(Tasks!$B$5:$B$1000,$A221,Tasks!$A$5:$A$1000,"&lt;&gt;",Tasks!$D$5:$D$1000,"Done")/COUNTIFS(Tasks!$B$5:$B$1000,$A221,Tasks!$A$5:$A$1000,"&lt;&gt;")))</f>
        <v/>
      </c>
      <c r="K221" s="11" t="str">
        <f>IF(OR($A221="",$F221=""),"",$F221-Overview!$B$3)</f>
        <v/>
      </c>
    </row>
    <row r="222" spans="4:11" x14ac:dyDescent="0.25">
      <c r="D222" s="18" t="str">
        <f>IF($C222="","",IFERROR(INDEX(Clients!$B$5:$B$1000,MATCH($C222,Clients!$A$5:$A$1000,0)),"Unknown client ID"))</f>
        <v/>
      </c>
      <c r="E222" s="16"/>
      <c r="F222" s="16"/>
      <c r="G222" s="17"/>
      <c r="J222" s="12" t="str">
        <f>IF($A222="","",IF(COUNTIFS(Tasks!$B$5:$B$1000,$A222,Tasks!$A$5:$A$1000,"&lt;&gt;")=0,0,COUNTIFS(Tasks!$B$5:$B$1000,$A222,Tasks!$A$5:$A$1000,"&lt;&gt;",Tasks!$D$5:$D$1000,"Done")/COUNTIFS(Tasks!$B$5:$B$1000,$A222,Tasks!$A$5:$A$1000,"&lt;&gt;")))</f>
        <v/>
      </c>
      <c r="K222" s="11" t="str">
        <f>IF(OR($A222="",$F222=""),"",$F222-Overview!$B$3)</f>
        <v/>
      </c>
    </row>
    <row r="223" spans="4:11" x14ac:dyDescent="0.25">
      <c r="D223" s="18" t="str">
        <f>IF($C223="","",IFERROR(INDEX(Clients!$B$5:$B$1000,MATCH($C223,Clients!$A$5:$A$1000,0)),"Unknown client ID"))</f>
        <v/>
      </c>
      <c r="E223" s="16"/>
      <c r="F223" s="16"/>
      <c r="G223" s="17"/>
      <c r="J223" s="12" t="str">
        <f>IF($A223="","",IF(COUNTIFS(Tasks!$B$5:$B$1000,$A223,Tasks!$A$5:$A$1000,"&lt;&gt;")=0,0,COUNTIFS(Tasks!$B$5:$B$1000,$A223,Tasks!$A$5:$A$1000,"&lt;&gt;",Tasks!$D$5:$D$1000,"Done")/COUNTIFS(Tasks!$B$5:$B$1000,$A223,Tasks!$A$5:$A$1000,"&lt;&gt;")))</f>
        <v/>
      </c>
      <c r="K223" s="11" t="str">
        <f>IF(OR($A223="",$F223=""),"",$F223-Overview!$B$3)</f>
        <v/>
      </c>
    </row>
    <row r="224" spans="4:11" x14ac:dyDescent="0.25">
      <c r="D224" s="18" t="str">
        <f>IF($C224="","",IFERROR(INDEX(Clients!$B$5:$B$1000,MATCH($C224,Clients!$A$5:$A$1000,0)),"Unknown client ID"))</f>
        <v/>
      </c>
      <c r="E224" s="16"/>
      <c r="F224" s="16"/>
      <c r="G224" s="17"/>
      <c r="J224" s="12" t="str">
        <f>IF($A224="","",IF(COUNTIFS(Tasks!$B$5:$B$1000,$A224,Tasks!$A$5:$A$1000,"&lt;&gt;")=0,0,COUNTIFS(Tasks!$B$5:$B$1000,$A224,Tasks!$A$5:$A$1000,"&lt;&gt;",Tasks!$D$5:$D$1000,"Done")/COUNTIFS(Tasks!$B$5:$B$1000,$A224,Tasks!$A$5:$A$1000,"&lt;&gt;")))</f>
        <v/>
      </c>
      <c r="K224" s="11" t="str">
        <f>IF(OR($A224="",$F224=""),"",$F224-Overview!$B$3)</f>
        <v/>
      </c>
    </row>
    <row r="225" spans="4:11" x14ac:dyDescent="0.25">
      <c r="D225" s="18" t="str">
        <f>IF($C225="","",IFERROR(INDEX(Clients!$B$5:$B$1000,MATCH($C225,Clients!$A$5:$A$1000,0)),"Unknown client ID"))</f>
        <v/>
      </c>
      <c r="E225" s="16"/>
      <c r="F225" s="16"/>
      <c r="G225" s="17"/>
      <c r="J225" s="12" t="str">
        <f>IF($A225="","",IF(COUNTIFS(Tasks!$B$5:$B$1000,$A225,Tasks!$A$5:$A$1000,"&lt;&gt;")=0,0,COUNTIFS(Tasks!$B$5:$B$1000,$A225,Tasks!$A$5:$A$1000,"&lt;&gt;",Tasks!$D$5:$D$1000,"Done")/COUNTIFS(Tasks!$B$5:$B$1000,$A225,Tasks!$A$5:$A$1000,"&lt;&gt;")))</f>
        <v/>
      </c>
      <c r="K225" s="11" t="str">
        <f>IF(OR($A225="",$F225=""),"",$F225-Overview!$B$3)</f>
        <v/>
      </c>
    </row>
    <row r="226" spans="4:11" x14ac:dyDescent="0.25">
      <c r="D226" s="18" t="str">
        <f>IF($C226="","",IFERROR(INDEX(Clients!$B$5:$B$1000,MATCH($C226,Clients!$A$5:$A$1000,0)),"Unknown client ID"))</f>
        <v/>
      </c>
      <c r="E226" s="16"/>
      <c r="F226" s="16"/>
      <c r="G226" s="17"/>
      <c r="J226" s="12" t="str">
        <f>IF($A226="","",IF(COUNTIFS(Tasks!$B$5:$B$1000,$A226,Tasks!$A$5:$A$1000,"&lt;&gt;")=0,0,COUNTIFS(Tasks!$B$5:$B$1000,$A226,Tasks!$A$5:$A$1000,"&lt;&gt;",Tasks!$D$5:$D$1000,"Done")/COUNTIFS(Tasks!$B$5:$B$1000,$A226,Tasks!$A$5:$A$1000,"&lt;&gt;")))</f>
        <v/>
      </c>
      <c r="K226" s="11" t="str">
        <f>IF(OR($A226="",$F226=""),"",$F226-Overview!$B$3)</f>
        <v/>
      </c>
    </row>
    <row r="227" spans="4:11" x14ac:dyDescent="0.25">
      <c r="D227" s="18" t="str">
        <f>IF($C227="","",IFERROR(INDEX(Clients!$B$5:$B$1000,MATCH($C227,Clients!$A$5:$A$1000,0)),"Unknown client ID"))</f>
        <v/>
      </c>
      <c r="E227" s="16"/>
      <c r="F227" s="16"/>
      <c r="G227" s="17"/>
      <c r="J227" s="12" t="str">
        <f>IF($A227="","",IF(COUNTIFS(Tasks!$B$5:$B$1000,$A227,Tasks!$A$5:$A$1000,"&lt;&gt;")=0,0,COUNTIFS(Tasks!$B$5:$B$1000,$A227,Tasks!$A$5:$A$1000,"&lt;&gt;",Tasks!$D$5:$D$1000,"Done")/COUNTIFS(Tasks!$B$5:$B$1000,$A227,Tasks!$A$5:$A$1000,"&lt;&gt;")))</f>
        <v/>
      </c>
      <c r="K227" s="11" t="str">
        <f>IF(OR($A227="",$F227=""),"",$F227-Overview!$B$3)</f>
        <v/>
      </c>
    </row>
    <row r="228" spans="4:11" x14ac:dyDescent="0.25">
      <c r="D228" s="18" t="str">
        <f>IF($C228="","",IFERROR(INDEX(Clients!$B$5:$B$1000,MATCH($C228,Clients!$A$5:$A$1000,0)),"Unknown client ID"))</f>
        <v/>
      </c>
      <c r="E228" s="16"/>
      <c r="F228" s="16"/>
      <c r="G228" s="17"/>
      <c r="J228" s="12" t="str">
        <f>IF($A228="","",IF(COUNTIFS(Tasks!$B$5:$B$1000,$A228,Tasks!$A$5:$A$1000,"&lt;&gt;")=0,0,COUNTIFS(Tasks!$B$5:$B$1000,$A228,Tasks!$A$5:$A$1000,"&lt;&gt;",Tasks!$D$5:$D$1000,"Done")/COUNTIFS(Tasks!$B$5:$B$1000,$A228,Tasks!$A$5:$A$1000,"&lt;&gt;")))</f>
        <v/>
      </c>
      <c r="K228" s="11" t="str">
        <f>IF(OR($A228="",$F228=""),"",$F228-Overview!$B$3)</f>
        <v/>
      </c>
    </row>
    <row r="229" spans="4:11" x14ac:dyDescent="0.25">
      <c r="D229" s="18" t="str">
        <f>IF($C229="","",IFERROR(INDEX(Clients!$B$5:$B$1000,MATCH($C229,Clients!$A$5:$A$1000,0)),"Unknown client ID"))</f>
        <v/>
      </c>
      <c r="E229" s="16"/>
      <c r="F229" s="16"/>
      <c r="G229" s="17"/>
      <c r="J229" s="12" t="str">
        <f>IF($A229="","",IF(COUNTIFS(Tasks!$B$5:$B$1000,$A229,Tasks!$A$5:$A$1000,"&lt;&gt;")=0,0,COUNTIFS(Tasks!$B$5:$B$1000,$A229,Tasks!$A$5:$A$1000,"&lt;&gt;",Tasks!$D$5:$D$1000,"Done")/COUNTIFS(Tasks!$B$5:$B$1000,$A229,Tasks!$A$5:$A$1000,"&lt;&gt;")))</f>
        <v/>
      </c>
      <c r="K229" s="11" t="str">
        <f>IF(OR($A229="",$F229=""),"",$F229-Overview!$B$3)</f>
        <v/>
      </c>
    </row>
    <row r="230" spans="4:11" x14ac:dyDescent="0.25">
      <c r="D230" s="18" t="str">
        <f>IF($C230="","",IFERROR(INDEX(Clients!$B$5:$B$1000,MATCH($C230,Clients!$A$5:$A$1000,0)),"Unknown client ID"))</f>
        <v/>
      </c>
      <c r="E230" s="16"/>
      <c r="F230" s="16"/>
      <c r="G230" s="17"/>
      <c r="J230" s="12" t="str">
        <f>IF($A230="","",IF(COUNTIFS(Tasks!$B$5:$B$1000,$A230,Tasks!$A$5:$A$1000,"&lt;&gt;")=0,0,COUNTIFS(Tasks!$B$5:$B$1000,$A230,Tasks!$A$5:$A$1000,"&lt;&gt;",Tasks!$D$5:$D$1000,"Done")/COUNTIFS(Tasks!$B$5:$B$1000,$A230,Tasks!$A$5:$A$1000,"&lt;&gt;")))</f>
        <v/>
      </c>
      <c r="K230" s="11" t="str">
        <f>IF(OR($A230="",$F230=""),"",$F230-Overview!$B$3)</f>
        <v/>
      </c>
    </row>
    <row r="231" spans="4:11" x14ac:dyDescent="0.25">
      <c r="D231" s="18" t="str">
        <f>IF($C231="","",IFERROR(INDEX(Clients!$B$5:$B$1000,MATCH($C231,Clients!$A$5:$A$1000,0)),"Unknown client ID"))</f>
        <v/>
      </c>
      <c r="E231" s="16"/>
      <c r="F231" s="16"/>
      <c r="G231" s="17"/>
      <c r="J231" s="12" t="str">
        <f>IF($A231="","",IF(COUNTIFS(Tasks!$B$5:$B$1000,$A231,Tasks!$A$5:$A$1000,"&lt;&gt;")=0,0,COUNTIFS(Tasks!$B$5:$B$1000,$A231,Tasks!$A$5:$A$1000,"&lt;&gt;",Tasks!$D$5:$D$1000,"Done")/COUNTIFS(Tasks!$B$5:$B$1000,$A231,Tasks!$A$5:$A$1000,"&lt;&gt;")))</f>
        <v/>
      </c>
      <c r="K231" s="11" t="str">
        <f>IF(OR($A231="",$F231=""),"",$F231-Overview!$B$3)</f>
        <v/>
      </c>
    </row>
    <row r="232" spans="4:11" x14ac:dyDescent="0.25">
      <c r="D232" s="18" t="str">
        <f>IF($C232="","",IFERROR(INDEX(Clients!$B$5:$B$1000,MATCH($C232,Clients!$A$5:$A$1000,0)),"Unknown client ID"))</f>
        <v/>
      </c>
      <c r="E232" s="16"/>
      <c r="F232" s="16"/>
      <c r="G232" s="17"/>
      <c r="J232" s="12" t="str">
        <f>IF($A232="","",IF(COUNTIFS(Tasks!$B$5:$B$1000,$A232,Tasks!$A$5:$A$1000,"&lt;&gt;")=0,0,COUNTIFS(Tasks!$B$5:$B$1000,$A232,Tasks!$A$5:$A$1000,"&lt;&gt;",Tasks!$D$5:$D$1000,"Done")/COUNTIFS(Tasks!$B$5:$B$1000,$A232,Tasks!$A$5:$A$1000,"&lt;&gt;")))</f>
        <v/>
      </c>
      <c r="K232" s="11" t="str">
        <f>IF(OR($A232="",$F232=""),"",$F232-Overview!$B$3)</f>
        <v/>
      </c>
    </row>
    <row r="233" spans="4:11" x14ac:dyDescent="0.25">
      <c r="D233" s="18" t="str">
        <f>IF($C233="","",IFERROR(INDEX(Clients!$B$5:$B$1000,MATCH($C233,Clients!$A$5:$A$1000,0)),"Unknown client ID"))</f>
        <v/>
      </c>
      <c r="E233" s="16"/>
      <c r="F233" s="16"/>
      <c r="G233" s="17"/>
      <c r="J233" s="12" t="str">
        <f>IF($A233="","",IF(COUNTIFS(Tasks!$B$5:$B$1000,$A233,Tasks!$A$5:$A$1000,"&lt;&gt;")=0,0,COUNTIFS(Tasks!$B$5:$B$1000,$A233,Tasks!$A$5:$A$1000,"&lt;&gt;",Tasks!$D$5:$D$1000,"Done")/COUNTIFS(Tasks!$B$5:$B$1000,$A233,Tasks!$A$5:$A$1000,"&lt;&gt;")))</f>
        <v/>
      </c>
      <c r="K233" s="11" t="str">
        <f>IF(OR($A233="",$F233=""),"",$F233-Overview!$B$3)</f>
        <v/>
      </c>
    </row>
    <row r="234" spans="4:11" x14ac:dyDescent="0.25">
      <c r="D234" s="18" t="str">
        <f>IF($C234="","",IFERROR(INDEX(Clients!$B$5:$B$1000,MATCH($C234,Clients!$A$5:$A$1000,0)),"Unknown client ID"))</f>
        <v/>
      </c>
      <c r="E234" s="16"/>
      <c r="F234" s="16"/>
      <c r="G234" s="17"/>
      <c r="J234" s="12" t="str">
        <f>IF($A234="","",IF(COUNTIFS(Tasks!$B$5:$B$1000,$A234,Tasks!$A$5:$A$1000,"&lt;&gt;")=0,0,COUNTIFS(Tasks!$B$5:$B$1000,$A234,Tasks!$A$5:$A$1000,"&lt;&gt;",Tasks!$D$5:$D$1000,"Done")/COUNTIFS(Tasks!$B$5:$B$1000,$A234,Tasks!$A$5:$A$1000,"&lt;&gt;")))</f>
        <v/>
      </c>
      <c r="K234" s="11" t="str">
        <f>IF(OR($A234="",$F234=""),"",$F234-Overview!$B$3)</f>
        <v/>
      </c>
    </row>
    <row r="235" spans="4:11" x14ac:dyDescent="0.25">
      <c r="D235" s="18" t="str">
        <f>IF($C235="","",IFERROR(INDEX(Clients!$B$5:$B$1000,MATCH($C235,Clients!$A$5:$A$1000,0)),"Unknown client ID"))</f>
        <v/>
      </c>
      <c r="E235" s="16"/>
      <c r="F235" s="16"/>
      <c r="G235" s="17"/>
      <c r="J235" s="12" t="str">
        <f>IF($A235="","",IF(COUNTIFS(Tasks!$B$5:$B$1000,$A235,Tasks!$A$5:$A$1000,"&lt;&gt;")=0,0,COUNTIFS(Tasks!$B$5:$B$1000,$A235,Tasks!$A$5:$A$1000,"&lt;&gt;",Tasks!$D$5:$D$1000,"Done")/COUNTIFS(Tasks!$B$5:$B$1000,$A235,Tasks!$A$5:$A$1000,"&lt;&gt;")))</f>
        <v/>
      </c>
      <c r="K235" s="11" t="str">
        <f>IF(OR($A235="",$F235=""),"",$F235-Overview!$B$3)</f>
        <v/>
      </c>
    </row>
    <row r="236" spans="4:11" x14ac:dyDescent="0.25">
      <c r="D236" s="18" t="str">
        <f>IF($C236="","",IFERROR(INDEX(Clients!$B$5:$B$1000,MATCH($C236,Clients!$A$5:$A$1000,0)),"Unknown client ID"))</f>
        <v/>
      </c>
      <c r="E236" s="16"/>
      <c r="F236" s="16"/>
      <c r="G236" s="17"/>
      <c r="J236" s="12" t="str">
        <f>IF($A236="","",IF(COUNTIFS(Tasks!$B$5:$B$1000,$A236,Tasks!$A$5:$A$1000,"&lt;&gt;")=0,0,COUNTIFS(Tasks!$B$5:$B$1000,$A236,Tasks!$A$5:$A$1000,"&lt;&gt;",Tasks!$D$5:$D$1000,"Done")/COUNTIFS(Tasks!$B$5:$B$1000,$A236,Tasks!$A$5:$A$1000,"&lt;&gt;")))</f>
        <v/>
      </c>
      <c r="K236" s="11" t="str">
        <f>IF(OR($A236="",$F236=""),"",$F236-Overview!$B$3)</f>
        <v/>
      </c>
    </row>
    <row r="237" spans="4:11" x14ac:dyDescent="0.25">
      <c r="D237" s="18" t="str">
        <f>IF($C237="","",IFERROR(INDEX(Clients!$B$5:$B$1000,MATCH($C237,Clients!$A$5:$A$1000,0)),"Unknown client ID"))</f>
        <v/>
      </c>
      <c r="E237" s="16"/>
      <c r="F237" s="16"/>
      <c r="G237" s="17"/>
      <c r="J237" s="12" t="str">
        <f>IF($A237="","",IF(COUNTIFS(Tasks!$B$5:$B$1000,$A237,Tasks!$A$5:$A$1000,"&lt;&gt;")=0,0,COUNTIFS(Tasks!$B$5:$B$1000,$A237,Tasks!$A$5:$A$1000,"&lt;&gt;",Tasks!$D$5:$D$1000,"Done")/COUNTIFS(Tasks!$B$5:$B$1000,$A237,Tasks!$A$5:$A$1000,"&lt;&gt;")))</f>
        <v/>
      </c>
      <c r="K237" s="11" t="str">
        <f>IF(OR($A237="",$F237=""),"",$F237-Overview!$B$3)</f>
        <v/>
      </c>
    </row>
    <row r="238" spans="4:11" x14ac:dyDescent="0.25">
      <c r="D238" s="18" t="str">
        <f>IF($C238="","",IFERROR(INDEX(Clients!$B$5:$B$1000,MATCH($C238,Clients!$A$5:$A$1000,0)),"Unknown client ID"))</f>
        <v/>
      </c>
      <c r="E238" s="16"/>
      <c r="F238" s="16"/>
      <c r="G238" s="17"/>
      <c r="J238" s="12" t="str">
        <f>IF($A238="","",IF(COUNTIFS(Tasks!$B$5:$B$1000,$A238,Tasks!$A$5:$A$1000,"&lt;&gt;")=0,0,COUNTIFS(Tasks!$B$5:$B$1000,$A238,Tasks!$A$5:$A$1000,"&lt;&gt;",Tasks!$D$5:$D$1000,"Done")/COUNTIFS(Tasks!$B$5:$B$1000,$A238,Tasks!$A$5:$A$1000,"&lt;&gt;")))</f>
        <v/>
      </c>
      <c r="K238" s="11" t="str">
        <f>IF(OR($A238="",$F238=""),"",$F238-Overview!$B$3)</f>
        <v/>
      </c>
    </row>
    <row r="239" spans="4:11" x14ac:dyDescent="0.25">
      <c r="D239" s="18" t="str">
        <f>IF($C239="","",IFERROR(INDEX(Clients!$B$5:$B$1000,MATCH($C239,Clients!$A$5:$A$1000,0)),"Unknown client ID"))</f>
        <v/>
      </c>
      <c r="E239" s="16"/>
      <c r="F239" s="16"/>
      <c r="G239" s="17"/>
      <c r="J239" s="12" t="str">
        <f>IF($A239="","",IF(COUNTIFS(Tasks!$B$5:$B$1000,$A239,Tasks!$A$5:$A$1000,"&lt;&gt;")=0,0,COUNTIFS(Tasks!$B$5:$B$1000,$A239,Tasks!$A$5:$A$1000,"&lt;&gt;",Tasks!$D$5:$D$1000,"Done")/COUNTIFS(Tasks!$B$5:$B$1000,$A239,Tasks!$A$5:$A$1000,"&lt;&gt;")))</f>
        <v/>
      </c>
      <c r="K239" s="11" t="str">
        <f>IF(OR($A239="",$F239=""),"",$F239-Overview!$B$3)</f>
        <v/>
      </c>
    </row>
    <row r="240" spans="4:11" x14ac:dyDescent="0.25">
      <c r="D240" s="18" t="str">
        <f>IF($C240="","",IFERROR(INDEX(Clients!$B$5:$B$1000,MATCH($C240,Clients!$A$5:$A$1000,0)),"Unknown client ID"))</f>
        <v/>
      </c>
      <c r="E240" s="16"/>
      <c r="F240" s="16"/>
      <c r="G240" s="17"/>
      <c r="J240" s="12" t="str">
        <f>IF($A240="","",IF(COUNTIFS(Tasks!$B$5:$B$1000,$A240,Tasks!$A$5:$A$1000,"&lt;&gt;")=0,0,COUNTIFS(Tasks!$B$5:$B$1000,$A240,Tasks!$A$5:$A$1000,"&lt;&gt;",Tasks!$D$5:$D$1000,"Done")/COUNTIFS(Tasks!$B$5:$B$1000,$A240,Tasks!$A$5:$A$1000,"&lt;&gt;")))</f>
        <v/>
      </c>
      <c r="K240" s="11" t="str">
        <f>IF(OR($A240="",$F240=""),"",$F240-Overview!$B$3)</f>
        <v/>
      </c>
    </row>
    <row r="241" spans="4:11" x14ac:dyDescent="0.25">
      <c r="D241" s="18" t="str">
        <f>IF($C241="","",IFERROR(INDEX(Clients!$B$5:$B$1000,MATCH($C241,Clients!$A$5:$A$1000,0)),"Unknown client ID"))</f>
        <v/>
      </c>
      <c r="E241" s="16"/>
      <c r="F241" s="16"/>
      <c r="G241" s="17"/>
      <c r="J241" s="12" t="str">
        <f>IF($A241="","",IF(COUNTIFS(Tasks!$B$5:$B$1000,$A241,Tasks!$A$5:$A$1000,"&lt;&gt;")=0,0,COUNTIFS(Tasks!$B$5:$B$1000,$A241,Tasks!$A$5:$A$1000,"&lt;&gt;",Tasks!$D$5:$D$1000,"Done")/COUNTIFS(Tasks!$B$5:$B$1000,$A241,Tasks!$A$5:$A$1000,"&lt;&gt;")))</f>
        <v/>
      </c>
      <c r="K241" s="11" t="str">
        <f>IF(OR($A241="",$F241=""),"",$F241-Overview!$B$3)</f>
        <v/>
      </c>
    </row>
    <row r="242" spans="4:11" x14ac:dyDescent="0.25">
      <c r="D242" s="18" t="str">
        <f>IF($C242="","",IFERROR(INDEX(Clients!$B$5:$B$1000,MATCH($C242,Clients!$A$5:$A$1000,0)),"Unknown client ID"))</f>
        <v/>
      </c>
      <c r="E242" s="16"/>
      <c r="F242" s="16"/>
      <c r="G242" s="17"/>
      <c r="J242" s="12" t="str">
        <f>IF($A242="","",IF(COUNTIFS(Tasks!$B$5:$B$1000,$A242,Tasks!$A$5:$A$1000,"&lt;&gt;")=0,0,COUNTIFS(Tasks!$B$5:$B$1000,$A242,Tasks!$A$5:$A$1000,"&lt;&gt;",Tasks!$D$5:$D$1000,"Done")/COUNTIFS(Tasks!$B$5:$B$1000,$A242,Tasks!$A$5:$A$1000,"&lt;&gt;")))</f>
        <v/>
      </c>
      <c r="K242" s="11" t="str">
        <f>IF(OR($A242="",$F242=""),"",$F242-Overview!$B$3)</f>
        <v/>
      </c>
    </row>
    <row r="243" spans="4:11" x14ac:dyDescent="0.25">
      <c r="D243" s="18" t="str">
        <f>IF($C243="","",IFERROR(INDEX(Clients!$B$5:$B$1000,MATCH($C243,Clients!$A$5:$A$1000,0)),"Unknown client ID"))</f>
        <v/>
      </c>
      <c r="E243" s="16"/>
      <c r="F243" s="16"/>
      <c r="G243" s="17"/>
      <c r="J243" s="12" t="str">
        <f>IF($A243="","",IF(COUNTIFS(Tasks!$B$5:$B$1000,$A243,Tasks!$A$5:$A$1000,"&lt;&gt;")=0,0,COUNTIFS(Tasks!$B$5:$B$1000,$A243,Tasks!$A$5:$A$1000,"&lt;&gt;",Tasks!$D$5:$D$1000,"Done")/COUNTIFS(Tasks!$B$5:$B$1000,$A243,Tasks!$A$5:$A$1000,"&lt;&gt;")))</f>
        <v/>
      </c>
      <c r="K243" s="11" t="str">
        <f>IF(OR($A243="",$F243=""),"",$F243-Overview!$B$3)</f>
        <v/>
      </c>
    </row>
    <row r="244" spans="4:11" x14ac:dyDescent="0.25">
      <c r="D244" s="18" t="str">
        <f>IF($C244="","",IFERROR(INDEX(Clients!$B$5:$B$1000,MATCH($C244,Clients!$A$5:$A$1000,0)),"Unknown client ID"))</f>
        <v/>
      </c>
      <c r="E244" s="16"/>
      <c r="F244" s="16"/>
      <c r="G244" s="17"/>
      <c r="J244" s="12" t="str">
        <f>IF($A244="","",IF(COUNTIFS(Tasks!$B$5:$B$1000,$A244,Tasks!$A$5:$A$1000,"&lt;&gt;")=0,0,COUNTIFS(Tasks!$B$5:$B$1000,$A244,Tasks!$A$5:$A$1000,"&lt;&gt;",Tasks!$D$5:$D$1000,"Done")/COUNTIFS(Tasks!$B$5:$B$1000,$A244,Tasks!$A$5:$A$1000,"&lt;&gt;")))</f>
        <v/>
      </c>
      <c r="K244" s="11" t="str">
        <f>IF(OR($A244="",$F244=""),"",$F244-Overview!$B$3)</f>
        <v/>
      </c>
    </row>
    <row r="245" spans="4:11" x14ac:dyDescent="0.25">
      <c r="D245" s="18" t="str">
        <f>IF($C245="","",IFERROR(INDEX(Clients!$B$5:$B$1000,MATCH($C245,Clients!$A$5:$A$1000,0)),"Unknown client ID"))</f>
        <v/>
      </c>
      <c r="E245" s="16"/>
      <c r="F245" s="16"/>
      <c r="G245" s="17"/>
      <c r="J245" s="12" t="str">
        <f>IF($A245="","",IF(COUNTIFS(Tasks!$B$5:$B$1000,$A245,Tasks!$A$5:$A$1000,"&lt;&gt;")=0,0,COUNTIFS(Tasks!$B$5:$B$1000,$A245,Tasks!$A$5:$A$1000,"&lt;&gt;",Tasks!$D$5:$D$1000,"Done")/COUNTIFS(Tasks!$B$5:$B$1000,$A245,Tasks!$A$5:$A$1000,"&lt;&gt;")))</f>
        <v/>
      </c>
      <c r="K245" s="11" t="str">
        <f>IF(OR($A245="",$F245=""),"",$F245-Overview!$B$3)</f>
        <v/>
      </c>
    </row>
    <row r="246" spans="4:11" x14ac:dyDescent="0.25">
      <c r="D246" s="18" t="str">
        <f>IF($C246="","",IFERROR(INDEX(Clients!$B$5:$B$1000,MATCH($C246,Clients!$A$5:$A$1000,0)),"Unknown client ID"))</f>
        <v/>
      </c>
      <c r="E246" s="16"/>
      <c r="F246" s="16"/>
      <c r="G246" s="17"/>
      <c r="J246" s="12" t="str">
        <f>IF($A246="","",IF(COUNTIFS(Tasks!$B$5:$B$1000,$A246,Tasks!$A$5:$A$1000,"&lt;&gt;")=0,0,COUNTIFS(Tasks!$B$5:$B$1000,$A246,Tasks!$A$5:$A$1000,"&lt;&gt;",Tasks!$D$5:$D$1000,"Done")/COUNTIFS(Tasks!$B$5:$B$1000,$A246,Tasks!$A$5:$A$1000,"&lt;&gt;")))</f>
        <v/>
      </c>
      <c r="K246" s="11" t="str">
        <f>IF(OR($A246="",$F246=""),"",$F246-Overview!$B$3)</f>
        <v/>
      </c>
    </row>
    <row r="247" spans="4:11" x14ac:dyDescent="0.25">
      <c r="D247" s="18" t="str">
        <f>IF($C247="","",IFERROR(INDEX(Clients!$B$5:$B$1000,MATCH($C247,Clients!$A$5:$A$1000,0)),"Unknown client ID"))</f>
        <v/>
      </c>
      <c r="E247" s="16"/>
      <c r="F247" s="16"/>
      <c r="G247" s="17"/>
      <c r="J247" s="12" t="str">
        <f>IF($A247="","",IF(COUNTIFS(Tasks!$B$5:$B$1000,$A247,Tasks!$A$5:$A$1000,"&lt;&gt;")=0,0,COUNTIFS(Tasks!$B$5:$B$1000,$A247,Tasks!$A$5:$A$1000,"&lt;&gt;",Tasks!$D$5:$D$1000,"Done")/COUNTIFS(Tasks!$B$5:$B$1000,$A247,Tasks!$A$5:$A$1000,"&lt;&gt;")))</f>
        <v/>
      </c>
      <c r="K247" s="11" t="str">
        <f>IF(OR($A247="",$F247=""),"",$F247-Overview!$B$3)</f>
        <v/>
      </c>
    </row>
    <row r="248" spans="4:11" x14ac:dyDescent="0.25">
      <c r="D248" s="18" t="str">
        <f>IF($C248="","",IFERROR(INDEX(Clients!$B$5:$B$1000,MATCH($C248,Clients!$A$5:$A$1000,0)),"Unknown client ID"))</f>
        <v/>
      </c>
      <c r="E248" s="16"/>
      <c r="F248" s="16"/>
      <c r="G248" s="17"/>
      <c r="J248" s="12" t="str">
        <f>IF($A248="","",IF(COUNTIFS(Tasks!$B$5:$B$1000,$A248,Tasks!$A$5:$A$1000,"&lt;&gt;")=0,0,COUNTIFS(Tasks!$B$5:$B$1000,$A248,Tasks!$A$5:$A$1000,"&lt;&gt;",Tasks!$D$5:$D$1000,"Done")/COUNTIFS(Tasks!$B$5:$B$1000,$A248,Tasks!$A$5:$A$1000,"&lt;&gt;")))</f>
        <v/>
      </c>
      <c r="K248" s="11" t="str">
        <f>IF(OR($A248="",$F248=""),"",$F248-Overview!$B$3)</f>
        <v/>
      </c>
    </row>
    <row r="249" spans="4:11" x14ac:dyDescent="0.25">
      <c r="D249" s="18" t="str">
        <f>IF($C249="","",IFERROR(INDEX(Clients!$B$5:$B$1000,MATCH($C249,Clients!$A$5:$A$1000,0)),"Unknown client ID"))</f>
        <v/>
      </c>
      <c r="E249" s="16"/>
      <c r="F249" s="16"/>
      <c r="G249" s="17"/>
      <c r="J249" s="12" t="str">
        <f>IF($A249="","",IF(COUNTIFS(Tasks!$B$5:$B$1000,$A249,Tasks!$A$5:$A$1000,"&lt;&gt;")=0,0,COUNTIFS(Tasks!$B$5:$B$1000,$A249,Tasks!$A$5:$A$1000,"&lt;&gt;",Tasks!$D$5:$D$1000,"Done")/COUNTIFS(Tasks!$B$5:$B$1000,$A249,Tasks!$A$5:$A$1000,"&lt;&gt;")))</f>
        <v/>
      </c>
      <c r="K249" s="11" t="str">
        <f>IF(OR($A249="",$F249=""),"",$F249-Overview!$B$3)</f>
        <v/>
      </c>
    </row>
    <row r="250" spans="4:11" x14ac:dyDescent="0.25">
      <c r="D250" s="18" t="str">
        <f>IF($C250="","",IFERROR(INDEX(Clients!$B$5:$B$1000,MATCH($C250,Clients!$A$5:$A$1000,0)),"Unknown client ID"))</f>
        <v/>
      </c>
      <c r="E250" s="16"/>
      <c r="F250" s="16"/>
      <c r="G250" s="17"/>
      <c r="J250" s="12" t="str">
        <f>IF($A250="","",IF(COUNTIFS(Tasks!$B$5:$B$1000,$A250,Tasks!$A$5:$A$1000,"&lt;&gt;")=0,0,COUNTIFS(Tasks!$B$5:$B$1000,$A250,Tasks!$A$5:$A$1000,"&lt;&gt;",Tasks!$D$5:$D$1000,"Done")/COUNTIFS(Tasks!$B$5:$B$1000,$A250,Tasks!$A$5:$A$1000,"&lt;&gt;")))</f>
        <v/>
      </c>
      <c r="K250" s="11" t="str">
        <f>IF(OR($A250="",$F250=""),"",$F250-Overview!$B$3)</f>
        <v/>
      </c>
    </row>
    <row r="251" spans="4:11" x14ac:dyDescent="0.25">
      <c r="D251" s="18" t="str">
        <f>IF($C251="","",IFERROR(INDEX(Clients!$B$5:$B$1000,MATCH($C251,Clients!$A$5:$A$1000,0)),"Unknown client ID"))</f>
        <v/>
      </c>
      <c r="E251" s="16"/>
      <c r="F251" s="16"/>
      <c r="G251" s="17"/>
      <c r="J251" s="12" t="str">
        <f>IF($A251="","",IF(COUNTIFS(Tasks!$B$5:$B$1000,$A251,Tasks!$A$5:$A$1000,"&lt;&gt;")=0,0,COUNTIFS(Tasks!$B$5:$B$1000,$A251,Tasks!$A$5:$A$1000,"&lt;&gt;",Tasks!$D$5:$D$1000,"Done")/COUNTIFS(Tasks!$B$5:$B$1000,$A251,Tasks!$A$5:$A$1000,"&lt;&gt;")))</f>
        <v/>
      </c>
      <c r="K251" s="11" t="str">
        <f>IF(OR($A251="",$F251=""),"",$F251-Overview!$B$3)</f>
        <v/>
      </c>
    </row>
    <row r="252" spans="4:11" x14ac:dyDescent="0.25">
      <c r="D252" s="18" t="str">
        <f>IF($C252="","",IFERROR(INDEX(Clients!$B$5:$B$1000,MATCH($C252,Clients!$A$5:$A$1000,0)),"Unknown client ID"))</f>
        <v/>
      </c>
      <c r="E252" s="16"/>
      <c r="F252" s="16"/>
      <c r="G252" s="17"/>
      <c r="J252" s="12" t="str">
        <f>IF($A252="","",IF(COUNTIFS(Tasks!$B$5:$B$1000,$A252,Tasks!$A$5:$A$1000,"&lt;&gt;")=0,0,COUNTIFS(Tasks!$B$5:$B$1000,$A252,Tasks!$A$5:$A$1000,"&lt;&gt;",Tasks!$D$5:$D$1000,"Done")/COUNTIFS(Tasks!$B$5:$B$1000,$A252,Tasks!$A$5:$A$1000,"&lt;&gt;")))</f>
        <v/>
      </c>
      <c r="K252" s="11" t="str">
        <f>IF(OR($A252="",$F252=""),"",$F252-Overview!$B$3)</f>
        <v/>
      </c>
    </row>
    <row r="253" spans="4:11" x14ac:dyDescent="0.25">
      <c r="D253" s="18" t="str">
        <f>IF($C253="","",IFERROR(INDEX(Clients!$B$5:$B$1000,MATCH($C253,Clients!$A$5:$A$1000,0)),"Unknown client ID"))</f>
        <v/>
      </c>
      <c r="E253" s="16"/>
      <c r="F253" s="16"/>
      <c r="G253" s="17"/>
      <c r="J253" s="12" t="str">
        <f>IF($A253="","",IF(COUNTIFS(Tasks!$B$5:$B$1000,$A253,Tasks!$A$5:$A$1000,"&lt;&gt;")=0,0,COUNTIFS(Tasks!$B$5:$B$1000,$A253,Tasks!$A$5:$A$1000,"&lt;&gt;",Tasks!$D$5:$D$1000,"Done")/COUNTIFS(Tasks!$B$5:$B$1000,$A253,Tasks!$A$5:$A$1000,"&lt;&gt;")))</f>
        <v/>
      </c>
      <c r="K253" s="11" t="str">
        <f>IF(OR($A253="",$F253=""),"",$F253-Overview!$B$3)</f>
        <v/>
      </c>
    </row>
    <row r="254" spans="4:11" x14ac:dyDescent="0.25">
      <c r="D254" s="18" t="str">
        <f>IF($C254="","",IFERROR(INDEX(Clients!$B$5:$B$1000,MATCH($C254,Clients!$A$5:$A$1000,0)),"Unknown client ID"))</f>
        <v/>
      </c>
      <c r="E254" s="16"/>
      <c r="F254" s="16"/>
      <c r="G254" s="17"/>
      <c r="J254" s="12" t="str">
        <f>IF($A254="","",IF(COUNTIFS(Tasks!$B$5:$B$1000,$A254,Tasks!$A$5:$A$1000,"&lt;&gt;")=0,0,COUNTIFS(Tasks!$B$5:$B$1000,$A254,Tasks!$A$5:$A$1000,"&lt;&gt;",Tasks!$D$5:$D$1000,"Done")/COUNTIFS(Tasks!$B$5:$B$1000,$A254,Tasks!$A$5:$A$1000,"&lt;&gt;")))</f>
        <v/>
      </c>
      <c r="K254" s="11" t="str">
        <f>IF(OR($A254="",$F254=""),"",$F254-Overview!$B$3)</f>
        <v/>
      </c>
    </row>
    <row r="255" spans="4:11" x14ac:dyDescent="0.25">
      <c r="D255" s="18" t="str">
        <f>IF($C255="","",IFERROR(INDEX(Clients!$B$5:$B$1000,MATCH($C255,Clients!$A$5:$A$1000,0)),"Unknown client ID"))</f>
        <v/>
      </c>
      <c r="E255" s="16"/>
      <c r="F255" s="16"/>
      <c r="G255" s="17"/>
      <c r="J255" s="12" t="str">
        <f>IF($A255="","",IF(COUNTIFS(Tasks!$B$5:$B$1000,$A255,Tasks!$A$5:$A$1000,"&lt;&gt;")=0,0,COUNTIFS(Tasks!$B$5:$B$1000,$A255,Tasks!$A$5:$A$1000,"&lt;&gt;",Tasks!$D$5:$D$1000,"Done")/COUNTIFS(Tasks!$B$5:$B$1000,$A255,Tasks!$A$5:$A$1000,"&lt;&gt;")))</f>
        <v/>
      </c>
      <c r="K255" s="11" t="str">
        <f>IF(OR($A255="",$F255=""),"",$F255-Overview!$B$3)</f>
        <v/>
      </c>
    </row>
    <row r="256" spans="4:11" x14ac:dyDescent="0.25">
      <c r="D256" s="18" t="str">
        <f>IF($C256="","",IFERROR(INDEX(Clients!$B$5:$B$1000,MATCH($C256,Clients!$A$5:$A$1000,0)),"Unknown client ID"))</f>
        <v/>
      </c>
      <c r="E256" s="16"/>
      <c r="F256" s="16"/>
      <c r="G256" s="17"/>
      <c r="J256" s="12" t="str">
        <f>IF($A256="","",IF(COUNTIFS(Tasks!$B$5:$B$1000,$A256,Tasks!$A$5:$A$1000,"&lt;&gt;")=0,0,COUNTIFS(Tasks!$B$5:$B$1000,$A256,Tasks!$A$5:$A$1000,"&lt;&gt;",Tasks!$D$5:$D$1000,"Done")/COUNTIFS(Tasks!$B$5:$B$1000,$A256,Tasks!$A$5:$A$1000,"&lt;&gt;")))</f>
        <v/>
      </c>
      <c r="K256" s="11" t="str">
        <f>IF(OR($A256="",$F256=""),"",$F256-Overview!$B$3)</f>
        <v/>
      </c>
    </row>
    <row r="257" spans="4:11" x14ac:dyDescent="0.25">
      <c r="D257" s="18" t="str">
        <f>IF($C257="","",IFERROR(INDEX(Clients!$B$5:$B$1000,MATCH($C257,Clients!$A$5:$A$1000,0)),"Unknown client ID"))</f>
        <v/>
      </c>
      <c r="E257" s="16"/>
      <c r="F257" s="16"/>
      <c r="G257" s="17"/>
      <c r="J257" s="12" t="str">
        <f>IF($A257="","",IF(COUNTIFS(Tasks!$B$5:$B$1000,$A257,Tasks!$A$5:$A$1000,"&lt;&gt;")=0,0,COUNTIFS(Tasks!$B$5:$B$1000,$A257,Tasks!$A$5:$A$1000,"&lt;&gt;",Tasks!$D$5:$D$1000,"Done")/COUNTIFS(Tasks!$B$5:$B$1000,$A257,Tasks!$A$5:$A$1000,"&lt;&gt;")))</f>
        <v/>
      </c>
      <c r="K257" s="11" t="str">
        <f>IF(OR($A257="",$F257=""),"",$F257-Overview!$B$3)</f>
        <v/>
      </c>
    </row>
    <row r="258" spans="4:11" x14ac:dyDescent="0.25">
      <c r="D258" s="18" t="str">
        <f>IF($C258="","",IFERROR(INDEX(Clients!$B$5:$B$1000,MATCH($C258,Clients!$A$5:$A$1000,0)),"Unknown client ID"))</f>
        <v/>
      </c>
      <c r="E258" s="16"/>
      <c r="F258" s="16"/>
      <c r="G258" s="17"/>
      <c r="J258" s="12" t="str">
        <f>IF($A258="","",IF(COUNTIFS(Tasks!$B$5:$B$1000,$A258,Tasks!$A$5:$A$1000,"&lt;&gt;")=0,0,COUNTIFS(Tasks!$B$5:$B$1000,$A258,Tasks!$A$5:$A$1000,"&lt;&gt;",Tasks!$D$5:$D$1000,"Done")/COUNTIFS(Tasks!$B$5:$B$1000,$A258,Tasks!$A$5:$A$1000,"&lt;&gt;")))</f>
        <v/>
      </c>
      <c r="K258" s="11" t="str">
        <f>IF(OR($A258="",$F258=""),"",$F258-Overview!$B$3)</f>
        <v/>
      </c>
    </row>
    <row r="259" spans="4:11" x14ac:dyDescent="0.25">
      <c r="D259" s="18" t="str">
        <f>IF($C259="","",IFERROR(INDEX(Clients!$B$5:$B$1000,MATCH($C259,Clients!$A$5:$A$1000,0)),"Unknown client ID"))</f>
        <v/>
      </c>
      <c r="E259" s="16"/>
      <c r="F259" s="16"/>
      <c r="G259" s="17"/>
      <c r="J259" s="12" t="str">
        <f>IF($A259="","",IF(COUNTIFS(Tasks!$B$5:$B$1000,$A259,Tasks!$A$5:$A$1000,"&lt;&gt;")=0,0,COUNTIFS(Tasks!$B$5:$B$1000,$A259,Tasks!$A$5:$A$1000,"&lt;&gt;",Tasks!$D$5:$D$1000,"Done")/COUNTIFS(Tasks!$B$5:$B$1000,$A259,Tasks!$A$5:$A$1000,"&lt;&gt;")))</f>
        <v/>
      </c>
      <c r="K259" s="11" t="str">
        <f>IF(OR($A259="",$F259=""),"",$F259-Overview!$B$3)</f>
        <v/>
      </c>
    </row>
    <row r="260" spans="4:11" x14ac:dyDescent="0.25">
      <c r="D260" s="18" t="str">
        <f>IF($C260="","",IFERROR(INDEX(Clients!$B$5:$B$1000,MATCH($C260,Clients!$A$5:$A$1000,0)),"Unknown client ID"))</f>
        <v/>
      </c>
      <c r="E260" s="16"/>
      <c r="F260" s="16"/>
      <c r="G260" s="17"/>
      <c r="J260" s="12" t="str">
        <f>IF($A260="","",IF(COUNTIFS(Tasks!$B$5:$B$1000,$A260,Tasks!$A$5:$A$1000,"&lt;&gt;")=0,0,COUNTIFS(Tasks!$B$5:$B$1000,$A260,Tasks!$A$5:$A$1000,"&lt;&gt;",Tasks!$D$5:$D$1000,"Done")/COUNTIFS(Tasks!$B$5:$B$1000,$A260,Tasks!$A$5:$A$1000,"&lt;&gt;")))</f>
        <v/>
      </c>
      <c r="K260" s="11" t="str">
        <f>IF(OR($A260="",$F260=""),"",$F260-Overview!$B$3)</f>
        <v/>
      </c>
    </row>
    <row r="261" spans="4:11" x14ac:dyDescent="0.25">
      <c r="D261" s="18" t="str">
        <f>IF($C261="","",IFERROR(INDEX(Clients!$B$5:$B$1000,MATCH($C261,Clients!$A$5:$A$1000,0)),"Unknown client ID"))</f>
        <v/>
      </c>
      <c r="E261" s="16"/>
      <c r="F261" s="16"/>
      <c r="G261" s="17"/>
      <c r="J261" s="12" t="str">
        <f>IF($A261="","",IF(COUNTIFS(Tasks!$B$5:$B$1000,$A261,Tasks!$A$5:$A$1000,"&lt;&gt;")=0,0,COUNTIFS(Tasks!$B$5:$B$1000,$A261,Tasks!$A$5:$A$1000,"&lt;&gt;",Tasks!$D$5:$D$1000,"Done")/COUNTIFS(Tasks!$B$5:$B$1000,$A261,Tasks!$A$5:$A$1000,"&lt;&gt;")))</f>
        <v/>
      </c>
      <c r="K261" s="11" t="str">
        <f>IF(OR($A261="",$F261=""),"",$F261-Overview!$B$3)</f>
        <v/>
      </c>
    </row>
    <row r="262" spans="4:11" x14ac:dyDescent="0.25">
      <c r="D262" s="18" t="str">
        <f>IF($C262="","",IFERROR(INDEX(Clients!$B$5:$B$1000,MATCH($C262,Clients!$A$5:$A$1000,0)),"Unknown client ID"))</f>
        <v/>
      </c>
      <c r="E262" s="16"/>
      <c r="F262" s="16"/>
      <c r="G262" s="17"/>
      <c r="J262" s="12" t="str">
        <f>IF($A262="","",IF(COUNTIFS(Tasks!$B$5:$B$1000,$A262,Tasks!$A$5:$A$1000,"&lt;&gt;")=0,0,COUNTIFS(Tasks!$B$5:$B$1000,$A262,Tasks!$A$5:$A$1000,"&lt;&gt;",Tasks!$D$5:$D$1000,"Done")/COUNTIFS(Tasks!$B$5:$B$1000,$A262,Tasks!$A$5:$A$1000,"&lt;&gt;")))</f>
        <v/>
      </c>
      <c r="K262" s="11" t="str">
        <f>IF(OR($A262="",$F262=""),"",$F262-Overview!$B$3)</f>
        <v/>
      </c>
    </row>
    <row r="263" spans="4:11" x14ac:dyDescent="0.25">
      <c r="D263" s="18" t="str">
        <f>IF($C263="","",IFERROR(INDEX(Clients!$B$5:$B$1000,MATCH($C263,Clients!$A$5:$A$1000,0)),"Unknown client ID"))</f>
        <v/>
      </c>
      <c r="E263" s="16"/>
      <c r="F263" s="16"/>
      <c r="G263" s="17"/>
      <c r="J263" s="12" t="str">
        <f>IF($A263="","",IF(COUNTIFS(Tasks!$B$5:$B$1000,$A263,Tasks!$A$5:$A$1000,"&lt;&gt;")=0,0,COUNTIFS(Tasks!$B$5:$B$1000,$A263,Tasks!$A$5:$A$1000,"&lt;&gt;",Tasks!$D$5:$D$1000,"Done")/COUNTIFS(Tasks!$B$5:$B$1000,$A263,Tasks!$A$5:$A$1000,"&lt;&gt;")))</f>
        <v/>
      </c>
      <c r="K263" s="11" t="str">
        <f>IF(OR($A263="",$F263=""),"",$F263-Overview!$B$3)</f>
        <v/>
      </c>
    </row>
    <row r="264" spans="4:11" x14ac:dyDescent="0.25">
      <c r="D264" s="18" t="str">
        <f>IF($C264="","",IFERROR(INDEX(Clients!$B$5:$B$1000,MATCH($C264,Clients!$A$5:$A$1000,0)),"Unknown client ID"))</f>
        <v/>
      </c>
      <c r="E264" s="16"/>
      <c r="F264" s="16"/>
      <c r="G264" s="17"/>
      <c r="J264" s="12" t="str">
        <f>IF($A264="","",IF(COUNTIFS(Tasks!$B$5:$B$1000,$A264,Tasks!$A$5:$A$1000,"&lt;&gt;")=0,0,COUNTIFS(Tasks!$B$5:$B$1000,$A264,Tasks!$A$5:$A$1000,"&lt;&gt;",Tasks!$D$5:$D$1000,"Done")/COUNTIFS(Tasks!$B$5:$B$1000,$A264,Tasks!$A$5:$A$1000,"&lt;&gt;")))</f>
        <v/>
      </c>
      <c r="K264" s="11" t="str">
        <f>IF(OR($A264="",$F264=""),"",$F264-Overview!$B$3)</f>
        <v/>
      </c>
    </row>
    <row r="265" spans="4:11" x14ac:dyDescent="0.25">
      <c r="D265" s="18" t="str">
        <f>IF($C265="","",IFERROR(INDEX(Clients!$B$5:$B$1000,MATCH($C265,Clients!$A$5:$A$1000,0)),"Unknown client ID"))</f>
        <v/>
      </c>
      <c r="E265" s="16"/>
      <c r="F265" s="16"/>
      <c r="G265" s="17"/>
      <c r="J265" s="12" t="str">
        <f>IF($A265="","",IF(COUNTIFS(Tasks!$B$5:$B$1000,$A265,Tasks!$A$5:$A$1000,"&lt;&gt;")=0,0,COUNTIFS(Tasks!$B$5:$B$1000,$A265,Tasks!$A$5:$A$1000,"&lt;&gt;",Tasks!$D$5:$D$1000,"Done")/COUNTIFS(Tasks!$B$5:$B$1000,$A265,Tasks!$A$5:$A$1000,"&lt;&gt;")))</f>
        <v/>
      </c>
      <c r="K265" s="11" t="str">
        <f>IF(OR($A265="",$F265=""),"",$F265-Overview!$B$3)</f>
        <v/>
      </c>
    </row>
    <row r="266" spans="4:11" x14ac:dyDescent="0.25">
      <c r="D266" s="18" t="str">
        <f>IF($C266="","",IFERROR(INDEX(Clients!$B$5:$B$1000,MATCH($C266,Clients!$A$5:$A$1000,0)),"Unknown client ID"))</f>
        <v/>
      </c>
      <c r="E266" s="16"/>
      <c r="F266" s="16"/>
      <c r="G266" s="17"/>
      <c r="J266" s="12" t="str">
        <f>IF($A266="","",IF(COUNTIFS(Tasks!$B$5:$B$1000,$A266,Tasks!$A$5:$A$1000,"&lt;&gt;")=0,0,COUNTIFS(Tasks!$B$5:$B$1000,$A266,Tasks!$A$5:$A$1000,"&lt;&gt;",Tasks!$D$5:$D$1000,"Done")/COUNTIFS(Tasks!$B$5:$B$1000,$A266,Tasks!$A$5:$A$1000,"&lt;&gt;")))</f>
        <v/>
      </c>
      <c r="K266" s="11" t="str">
        <f>IF(OR($A266="",$F266=""),"",$F266-Overview!$B$3)</f>
        <v/>
      </c>
    </row>
    <row r="267" spans="4:11" x14ac:dyDescent="0.25">
      <c r="D267" s="18" t="str">
        <f>IF($C267="","",IFERROR(INDEX(Clients!$B$5:$B$1000,MATCH($C267,Clients!$A$5:$A$1000,0)),"Unknown client ID"))</f>
        <v/>
      </c>
      <c r="E267" s="16"/>
      <c r="F267" s="16"/>
      <c r="G267" s="17"/>
      <c r="J267" s="12" t="str">
        <f>IF($A267="","",IF(COUNTIFS(Tasks!$B$5:$B$1000,$A267,Tasks!$A$5:$A$1000,"&lt;&gt;")=0,0,COUNTIFS(Tasks!$B$5:$B$1000,$A267,Tasks!$A$5:$A$1000,"&lt;&gt;",Tasks!$D$5:$D$1000,"Done")/COUNTIFS(Tasks!$B$5:$B$1000,$A267,Tasks!$A$5:$A$1000,"&lt;&gt;")))</f>
        <v/>
      </c>
      <c r="K267" s="11" t="str">
        <f>IF(OR($A267="",$F267=""),"",$F267-Overview!$B$3)</f>
        <v/>
      </c>
    </row>
    <row r="268" spans="4:11" x14ac:dyDescent="0.25">
      <c r="D268" s="18" t="str">
        <f>IF($C268="","",IFERROR(INDEX(Clients!$B$5:$B$1000,MATCH($C268,Clients!$A$5:$A$1000,0)),"Unknown client ID"))</f>
        <v/>
      </c>
      <c r="E268" s="16"/>
      <c r="F268" s="16"/>
      <c r="G268" s="17"/>
      <c r="J268" s="12" t="str">
        <f>IF($A268="","",IF(COUNTIFS(Tasks!$B$5:$B$1000,$A268,Tasks!$A$5:$A$1000,"&lt;&gt;")=0,0,COUNTIFS(Tasks!$B$5:$B$1000,$A268,Tasks!$A$5:$A$1000,"&lt;&gt;",Tasks!$D$5:$D$1000,"Done")/COUNTIFS(Tasks!$B$5:$B$1000,$A268,Tasks!$A$5:$A$1000,"&lt;&gt;")))</f>
        <v/>
      </c>
      <c r="K268" s="11" t="str">
        <f>IF(OR($A268="",$F268=""),"",$F268-Overview!$B$3)</f>
        <v/>
      </c>
    </row>
    <row r="269" spans="4:11" x14ac:dyDescent="0.25">
      <c r="D269" s="18" t="str">
        <f>IF($C269="","",IFERROR(INDEX(Clients!$B$5:$B$1000,MATCH($C269,Clients!$A$5:$A$1000,0)),"Unknown client ID"))</f>
        <v/>
      </c>
      <c r="E269" s="16"/>
      <c r="F269" s="16"/>
      <c r="G269" s="17"/>
      <c r="J269" s="12" t="str">
        <f>IF($A269="","",IF(COUNTIFS(Tasks!$B$5:$B$1000,$A269,Tasks!$A$5:$A$1000,"&lt;&gt;")=0,0,COUNTIFS(Tasks!$B$5:$B$1000,$A269,Tasks!$A$5:$A$1000,"&lt;&gt;",Tasks!$D$5:$D$1000,"Done")/COUNTIFS(Tasks!$B$5:$B$1000,$A269,Tasks!$A$5:$A$1000,"&lt;&gt;")))</f>
        <v/>
      </c>
      <c r="K269" s="11" t="str">
        <f>IF(OR($A269="",$F269=""),"",$F269-Overview!$B$3)</f>
        <v/>
      </c>
    </row>
    <row r="270" spans="4:11" x14ac:dyDescent="0.25">
      <c r="D270" s="18" t="str">
        <f>IF($C270="","",IFERROR(INDEX(Clients!$B$5:$B$1000,MATCH($C270,Clients!$A$5:$A$1000,0)),"Unknown client ID"))</f>
        <v/>
      </c>
      <c r="E270" s="16"/>
      <c r="F270" s="16"/>
      <c r="G270" s="17"/>
      <c r="J270" s="12" t="str">
        <f>IF($A270="","",IF(COUNTIFS(Tasks!$B$5:$B$1000,$A270,Tasks!$A$5:$A$1000,"&lt;&gt;")=0,0,COUNTIFS(Tasks!$B$5:$B$1000,$A270,Tasks!$A$5:$A$1000,"&lt;&gt;",Tasks!$D$5:$D$1000,"Done")/COUNTIFS(Tasks!$B$5:$B$1000,$A270,Tasks!$A$5:$A$1000,"&lt;&gt;")))</f>
        <v/>
      </c>
      <c r="K270" s="11" t="str">
        <f>IF(OR($A270="",$F270=""),"",$F270-Overview!$B$3)</f>
        <v/>
      </c>
    </row>
    <row r="271" spans="4:11" x14ac:dyDescent="0.25">
      <c r="D271" s="18" t="str">
        <f>IF($C271="","",IFERROR(INDEX(Clients!$B$5:$B$1000,MATCH($C271,Clients!$A$5:$A$1000,0)),"Unknown client ID"))</f>
        <v/>
      </c>
      <c r="E271" s="16"/>
      <c r="F271" s="16"/>
      <c r="G271" s="17"/>
      <c r="J271" s="12" t="str">
        <f>IF($A271="","",IF(COUNTIFS(Tasks!$B$5:$B$1000,$A271,Tasks!$A$5:$A$1000,"&lt;&gt;")=0,0,COUNTIFS(Tasks!$B$5:$B$1000,$A271,Tasks!$A$5:$A$1000,"&lt;&gt;",Tasks!$D$5:$D$1000,"Done")/COUNTIFS(Tasks!$B$5:$B$1000,$A271,Tasks!$A$5:$A$1000,"&lt;&gt;")))</f>
        <v/>
      </c>
      <c r="K271" s="11" t="str">
        <f>IF(OR($A271="",$F271=""),"",$F271-Overview!$B$3)</f>
        <v/>
      </c>
    </row>
    <row r="272" spans="4:11" x14ac:dyDescent="0.25">
      <c r="D272" s="18" t="str">
        <f>IF($C272="","",IFERROR(INDEX(Clients!$B$5:$B$1000,MATCH($C272,Clients!$A$5:$A$1000,0)),"Unknown client ID"))</f>
        <v/>
      </c>
      <c r="E272" s="16"/>
      <c r="F272" s="16"/>
      <c r="G272" s="17"/>
      <c r="J272" s="12" t="str">
        <f>IF($A272="","",IF(COUNTIFS(Tasks!$B$5:$B$1000,$A272,Tasks!$A$5:$A$1000,"&lt;&gt;")=0,0,COUNTIFS(Tasks!$B$5:$B$1000,$A272,Tasks!$A$5:$A$1000,"&lt;&gt;",Tasks!$D$5:$D$1000,"Done")/COUNTIFS(Tasks!$B$5:$B$1000,$A272,Tasks!$A$5:$A$1000,"&lt;&gt;")))</f>
        <v/>
      </c>
      <c r="K272" s="11" t="str">
        <f>IF(OR($A272="",$F272=""),"",$F272-Overview!$B$3)</f>
        <v/>
      </c>
    </row>
    <row r="273" spans="4:11" x14ac:dyDescent="0.25">
      <c r="D273" s="18" t="str">
        <f>IF($C273="","",IFERROR(INDEX(Clients!$B$5:$B$1000,MATCH($C273,Clients!$A$5:$A$1000,0)),"Unknown client ID"))</f>
        <v/>
      </c>
      <c r="E273" s="16"/>
      <c r="F273" s="16"/>
      <c r="G273" s="17"/>
      <c r="J273" s="12" t="str">
        <f>IF($A273="","",IF(COUNTIFS(Tasks!$B$5:$B$1000,$A273,Tasks!$A$5:$A$1000,"&lt;&gt;")=0,0,COUNTIFS(Tasks!$B$5:$B$1000,$A273,Tasks!$A$5:$A$1000,"&lt;&gt;",Tasks!$D$5:$D$1000,"Done")/COUNTIFS(Tasks!$B$5:$B$1000,$A273,Tasks!$A$5:$A$1000,"&lt;&gt;")))</f>
        <v/>
      </c>
      <c r="K273" s="11" t="str">
        <f>IF(OR($A273="",$F273=""),"",$F273-Overview!$B$3)</f>
        <v/>
      </c>
    </row>
    <row r="274" spans="4:11" x14ac:dyDescent="0.25">
      <c r="D274" s="18" t="str">
        <f>IF($C274="","",IFERROR(INDEX(Clients!$B$5:$B$1000,MATCH($C274,Clients!$A$5:$A$1000,0)),"Unknown client ID"))</f>
        <v/>
      </c>
      <c r="E274" s="16"/>
      <c r="F274" s="16"/>
      <c r="G274" s="17"/>
      <c r="J274" s="12" t="str">
        <f>IF($A274="","",IF(COUNTIFS(Tasks!$B$5:$B$1000,$A274,Tasks!$A$5:$A$1000,"&lt;&gt;")=0,0,COUNTIFS(Tasks!$B$5:$B$1000,$A274,Tasks!$A$5:$A$1000,"&lt;&gt;",Tasks!$D$5:$D$1000,"Done")/COUNTIFS(Tasks!$B$5:$B$1000,$A274,Tasks!$A$5:$A$1000,"&lt;&gt;")))</f>
        <v/>
      </c>
      <c r="K274" s="11" t="str">
        <f>IF(OR($A274="",$F274=""),"",$F274-Overview!$B$3)</f>
        <v/>
      </c>
    </row>
    <row r="275" spans="4:11" x14ac:dyDescent="0.25">
      <c r="D275" s="18" t="str">
        <f>IF($C275="","",IFERROR(INDEX(Clients!$B$5:$B$1000,MATCH($C275,Clients!$A$5:$A$1000,0)),"Unknown client ID"))</f>
        <v/>
      </c>
      <c r="E275" s="16"/>
      <c r="F275" s="16"/>
      <c r="G275" s="17"/>
      <c r="J275" s="12" t="str">
        <f>IF($A275="","",IF(COUNTIFS(Tasks!$B$5:$B$1000,$A275,Tasks!$A$5:$A$1000,"&lt;&gt;")=0,0,COUNTIFS(Tasks!$B$5:$B$1000,$A275,Tasks!$A$5:$A$1000,"&lt;&gt;",Tasks!$D$5:$D$1000,"Done")/COUNTIFS(Tasks!$B$5:$B$1000,$A275,Tasks!$A$5:$A$1000,"&lt;&gt;")))</f>
        <v/>
      </c>
      <c r="K275" s="11" t="str">
        <f>IF(OR($A275="",$F275=""),"",$F275-Overview!$B$3)</f>
        <v/>
      </c>
    </row>
    <row r="276" spans="4:11" x14ac:dyDescent="0.25">
      <c r="D276" s="18" t="str">
        <f>IF($C276="","",IFERROR(INDEX(Clients!$B$5:$B$1000,MATCH($C276,Clients!$A$5:$A$1000,0)),"Unknown client ID"))</f>
        <v/>
      </c>
      <c r="E276" s="16"/>
      <c r="F276" s="16"/>
      <c r="G276" s="17"/>
      <c r="J276" s="12" t="str">
        <f>IF($A276="","",IF(COUNTIFS(Tasks!$B$5:$B$1000,$A276,Tasks!$A$5:$A$1000,"&lt;&gt;")=0,0,COUNTIFS(Tasks!$B$5:$B$1000,$A276,Tasks!$A$5:$A$1000,"&lt;&gt;",Tasks!$D$5:$D$1000,"Done")/COUNTIFS(Tasks!$B$5:$B$1000,$A276,Tasks!$A$5:$A$1000,"&lt;&gt;")))</f>
        <v/>
      </c>
      <c r="K276" s="11" t="str">
        <f>IF(OR($A276="",$F276=""),"",$F276-Overview!$B$3)</f>
        <v/>
      </c>
    </row>
    <row r="277" spans="4:11" x14ac:dyDescent="0.25">
      <c r="D277" s="18" t="str">
        <f>IF($C277="","",IFERROR(INDEX(Clients!$B$5:$B$1000,MATCH($C277,Clients!$A$5:$A$1000,0)),"Unknown client ID"))</f>
        <v/>
      </c>
      <c r="E277" s="16"/>
      <c r="F277" s="16"/>
      <c r="G277" s="17"/>
      <c r="J277" s="12" t="str">
        <f>IF($A277="","",IF(COUNTIFS(Tasks!$B$5:$B$1000,$A277,Tasks!$A$5:$A$1000,"&lt;&gt;")=0,0,COUNTIFS(Tasks!$B$5:$B$1000,$A277,Tasks!$A$5:$A$1000,"&lt;&gt;",Tasks!$D$5:$D$1000,"Done")/COUNTIFS(Tasks!$B$5:$B$1000,$A277,Tasks!$A$5:$A$1000,"&lt;&gt;")))</f>
        <v/>
      </c>
      <c r="K277" s="11" t="str">
        <f>IF(OR($A277="",$F277=""),"",$F277-Overview!$B$3)</f>
        <v/>
      </c>
    </row>
    <row r="278" spans="4:11" x14ac:dyDescent="0.25">
      <c r="D278" s="18" t="str">
        <f>IF($C278="","",IFERROR(INDEX(Clients!$B$5:$B$1000,MATCH($C278,Clients!$A$5:$A$1000,0)),"Unknown client ID"))</f>
        <v/>
      </c>
      <c r="E278" s="16"/>
      <c r="F278" s="16"/>
      <c r="G278" s="17"/>
      <c r="J278" s="12" t="str">
        <f>IF($A278="","",IF(COUNTIFS(Tasks!$B$5:$B$1000,$A278,Tasks!$A$5:$A$1000,"&lt;&gt;")=0,0,COUNTIFS(Tasks!$B$5:$B$1000,$A278,Tasks!$A$5:$A$1000,"&lt;&gt;",Tasks!$D$5:$D$1000,"Done")/COUNTIFS(Tasks!$B$5:$B$1000,$A278,Tasks!$A$5:$A$1000,"&lt;&gt;")))</f>
        <v/>
      </c>
      <c r="K278" s="11" t="str">
        <f>IF(OR($A278="",$F278=""),"",$F278-Overview!$B$3)</f>
        <v/>
      </c>
    </row>
    <row r="279" spans="4:11" x14ac:dyDescent="0.25">
      <c r="D279" s="18" t="str">
        <f>IF($C279="","",IFERROR(INDEX(Clients!$B$5:$B$1000,MATCH($C279,Clients!$A$5:$A$1000,0)),"Unknown client ID"))</f>
        <v/>
      </c>
      <c r="E279" s="16"/>
      <c r="F279" s="16"/>
      <c r="G279" s="17"/>
      <c r="J279" s="12" t="str">
        <f>IF($A279="","",IF(COUNTIFS(Tasks!$B$5:$B$1000,$A279,Tasks!$A$5:$A$1000,"&lt;&gt;")=0,0,COUNTIFS(Tasks!$B$5:$B$1000,$A279,Tasks!$A$5:$A$1000,"&lt;&gt;",Tasks!$D$5:$D$1000,"Done")/COUNTIFS(Tasks!$B$5:$B$1000,$A279,Tasks!$A$5:$A$1000,"&lt;&gt;")))</f>
        <v/>
      </c>
      <c r="K279" s="11" t="str">
        <f>IF(OR($A279="",$F279=""),"",$F279-Overview!$B$3)</f>
        <v/>
      </c>
    </row>
    <row r="280" spans="4:11" x14ac:dyDescent="0.25">
      <c r="D280" s="18" t="str">
        <f>IF($C280="","",IFERROR(INDEX(Clients!$B$5:$B$1000,MATCH($C280,Clients!$A$5:$A$1000,0)),"Unknown client ID"))</f>
        <v/>
      </c>
      <c r="E280" s="16"/>
      <c r="F280" s="16"/>
      <c r="G280" s="17"/>
      <c r="J280" s="12" t="str">
        <f>IF($A280="","",IF(COUNTIFS(Tasks!$B$5:$B$1000,$A280,Tasks!$A$5:$A$1000,"&lt;&gt;")=0,0,COUNTIFS(Tasks!$B$5:$B$1000,$A280,Tasks!$A$5:$A$1000,"&lt;&gt;",Tasks!$D$5:$D$1000,"Done")/COUNTIFS(Tasks!$B$5:$B$1000,$A280,Tasks!$A$5:$A$1000,"&lt;&gt;")))</f>
        <v/>
      </c>
      <c r="K280" s="11" t="str">
        <f>IF(OR($A280="",$F280=""),"",$F280-Overview!$B$3)</f>
        <v/>
      </c>
    </row>
    <row r="281" spans="4:11" x14ac:dyDescent="0.25">
      <c r="D281" s="18" t="str">
        <f>IF($C281="","",IFERROR(INDEX(Clients!$B$5:$B$1000,MATCH($C281,Clients!$A$5:$A$1000,0)),"Unknown client ID"))</f>
        <v/>
      </c>
      <c r="E281" s="16"/>
      <c r="F281" s="16"/>
      <c r="G281" s="17"/>
      <c r="J281" s="12" t="str">
        <f>IF($A281="","",IF(COUNTIFS(Tasks!$B$5:$B$1000,$A281,Tasks!$A$5:$A$1000,"&lt;&gt;")=0,0,COUNTIFS(Tasks!$B$5:$B$1000,$A281,Tasks!$A$5:$A$1000,"&lt;&gt;",Tasks!$D$5:$D$1000,"Done")/COUNTIFS(Tasks!$B$5:$B$1000,$A281,Tasks!$A$5:$A$1000,"&lt;&gt;")))</f>
        <v/>
      </c>
      <c r="K281" s="11" t="str">
        <f>IF(OR($A281="",$F281=""),"",$F281-Overview!$B$3)</f>
        <v/>
      </c>
    </row>
    <row r="282" spans="4:11" x14ac:dyDescent="0.25">
      <c r="D282" s="18" t="str">
        <f>IF($C282="","",IFERROR(INDEX(Clients!$B$5:$B$1000,MATCH($C282,Clients!$A$5:$A$1000,0)),"Unknown client ID"))</f>
        <v/>
      </c>
      <c r="E282" s="16"/>
      <c r="F282" s="16"/>
      <c r="G282" s="17"/>
      <c r="J282" s="12" t="str">
        <f>IF($A282="","",IF(COUNTIFS(Tasks!$B$5:$B$1000,$A282,Tasks!$A$5:$A$1000,"&lt;&gt;")=0,0,COUNTIFS(Tasks!$B$5:$B$1000,$A282,Tasks!$A$5:$A$1000,"&lt;&gt;",Tasks!$D$5:$D$1000,"Done")/COUNTIFS(Tasks!$B$5:$B$1000,$A282,Tasks!$A$5:$A$1000,"&lt;&gt;")))</f>
        <v/>
      </c>
      <c r="K282" s="11" t="str">
        <f>IF(OR($A282="",$F282=""),"",$F282-Overview!$B$3)</f>
        <v/>
      </c>
    </row>
    <row r="283" spans="4:11" x14ac:dyDescent="0.25">
      <c r="D283" s="18" t="str">
        <f>IF($C283="","",IFERROR(INDEX(Clients!$B$5:$B$1000,MATCH($C283,Clients!$A$5:$A$1000,0)),"Unknown client ID"))</f>
        <v/>
      </c>
      <c r="E283" s="16"/>
      <c r="F283" s="16"/>
      <c r="G283" s="17"/>
      <c r="J283" s="12" t="str">
        <f>IF($A283="","",IF(COUNTIFS(Tasks!$B$5:$B$1000,$A283,Tasks!$A$5:$A$1000,"&lt;&gt;")=0,0,COUNTIFS(Tasks!$B$5:$B$1000,$A283,Tasks!$A$5:$A$1000,"&lt;&gt;",Tasks!$D$5:$D$1000,"Done")/COUNTIFS(Tasks!$B$5:$B$1000,$A283,Tasks!$A$5:$A$1000,"&lt;&gt;")))</f>
        <v/>
      </c>
      <c r="K283" s="11" t="str">
        <f>IF(OR($A283="",$F283=""),"",$F283-Overview!$B$3)</f>
        <v/>
      </c>
    </row>
    <row r="284" spans="4:11" x14ac:dyDescent="0.25">
      <c r="D284" s="18" t="str">
        <f>IF($C284="","",IFERROR(INDEX(Clients!$B$5:$B$1000,MATCH($C284,Clients!$A$5:$A$1000,0)),"Unknown client ID"))</f>
        <v/>
      </c>
      <c r="E284" s="16"/>
      <c r="F284" s="16"/>
      <c r="G284" s="17"/>
      <c r="J284" s="12" t="str">
        <f>IF($A284="","",IF(COUNTIFS(Tasks!$B$5:$B$1000,$A284,Tasks!$A$5:$A$1000,"&lt;&gt;")=0,0,COUNTIFS(Tasks!$B$5:$B$1000,$A284,Tasks!$A$5:$A$1000,"&lt;&gt;",Tasks!$D$5:$D$1000,"Done")/COUNTIFS(Tasks!$B$5:$B$1000,$A284,Tasks!$A$5:$A$1000,"&lt;&gt;")))</f>
        <v/>
      </c>
      <c r="K284" s="11" t="str">
        <f>IF(OR($A284="",$F284=""),"",$F284-Overview!$B$3)</f>
        <v/>
      </c>
    </row>
    <row r="285" spans="4:11" x14ac:dyDescent="0.25">
      <c r="D285" s="18" t="str">
        <f>IF($C285="","",IFERROR(INDEX(Clients!$B$5:$B$1000,MATCH($C285,Clients!$A$5:$A$1000,0)),"Unknown client ID"))</f>
        <v/>
      </c>
      <c r="E285" s="16"/>
      <c r="F285" s="16"/>
      <c r="G285" s="17"/>
      <c r="J285" s="12" t="str">
        <f>IF($A285="","",IF(COUNTIFS(Tasks!$B$5:$B$1000,$A285,Tasks!$A$5:$A$1000,"&lt;&gt;")=0,0,COUNTIFS(Tasks!$B$5:$B$1000,$A285,Tasks!$A$5:$A$1000,"&lt;&gt;",Tasks!$D$5:$D$1000,"Done")/COUNTIFS(Tasks!$B$5:$B$1000,$A285,Tasks!$A$5:$A$1000,"&lt;&gt;")))</f>
        <v/>
      </c>
      <c r="K285" s="11" t="str">
        <f>IF(OR($A285="",$F285=""),"",$F285-Overview!$B$3)</f>
        <v/>
      </c>
    </row>
    <row r="286" spans="4:11" x14ac:dyDescent="0.25">
      <c r="D286" s="18" t="str">
        <f>IF($C286="","",IFERROR(INDEX(Clients!$B$5:$B$1000,MATCH($C286,Clients!$A$5:$A$1000,0)),"Unknown client ID"))</f>
        <v/>
      </c>
      <c r="E286" s="16"/>
      <c r="F286" s="16"/>
      <c r="G286" s="17"/>
      <c r="J286" s="12" t="str">
        <f>IF($A286="","",IF(COUNTIFS(Tasks!$B$5:$B$1000,$A286,Tasks!$A$5:$A$1000,"&lt;&gt;")=0,0,COUNTIFS(Tasks!$B$5:$B$1000,$A286,Tasks!$A$5:$A$1000,"&lt;&gt;",Tasks!$D$5:$D$1000,"Done")/COUNTIFS(Tasks!$B$5:$B$1000,$A286,Tasks!$A$5:$A$1000,"&lt;&gt;")))</f>
        <v/>
      </c>
      <c r="K286" s="11" t="str">
        <f>IF(OR($A286="",$F286=""),"",$F286-Overview!$B$3)</f>
        <v/>
      </c>
    </row>
    <row r="287" spans="4:11" x14ac:dyDescent="0.25">
      <c r="D287" s="18" t="str">
        <f>IF($C287="","",IFERROR(INDEX(Clients!$B$5:$B$1000,MATCH($C287,Clients!$A$5:$A$1000,0)),"Unknown client ID"))</f>
        <v/>
      </c>
      <c r="E287" s="16"/>
      <c r="F287" s="16"/>
      <c r="G287" s="17"/>
      <c r="J287" s="12" t="str">
        <f>IF($A287="","",IF(COUNTIFS(Tasks!$B$5:$B$1000,$A287,Tasks!$A$5:$A$1000,"&lt;&gt;")=0,0,COUNTIFS(Tasks!$B$5:$B$1000,$A287,Tasks!$A$5:$A$1000,"&lt;&gt;",Tasks!$D$5:$D$1000,"Done")/COUNTIFS(Tasks!$B$5:$B$1000,$A287,Tasks!$A$5:$A$1000,"&lt;&gt;")))</f>
        <v/>
      </c>
      <c r="K287" s="11" t="str">
        <f>IF(OR($A287="",$F287=""),"",$F287-Overview!$B$3)</f>
        <v/>
      </c>
    </row>
    <row r="288" spans="4:11" x14ac:dyDescent="0.25">
      <c r="D288" s="18" t="str">
        <f>IF($C288="","",IFERROR(INDEX(Clients!$B$5:$B$1000,MATCH($C288,Clients!$A$5:$A$1000,0)),"Unknown client ID"))</f>
        <v/>
      </c>
      <c r="E288" s="16"/>
      <c r="F288" s="16"/>
      <c r="G288" s="17"/>
      <c r="J288" s="12" t="str">
        <f>IF($A288="","",IF(COUNTIFS(Tasks!$B$5:$B$1000,$A288,Tasks!$A$5:$A$1000,"&lt;&gt;")=0,0,COUNTIFS(Tasks!$B$5:$B$1000,$A288,Tasks!$A$5:$A$1000,"&lt;&gt;",Tasks!$D$5:$D$1000,"Done")/COUNTIFS(Tasks!$B$5:$B$1000,$A288,Tasks!$A$5:$A$1000,"&lt;&gt;")))</f>
        <v/>
      </c>
      <c r="K288" s="11" t="str">
        <f>IF(OR($A288="",$F288=""),"",$F288-Overview!$B$3)</f>
        <v/>
      </c>
    </row>
    <row r="289" spans="4:11" x14ac:dyDescent="0.25">
      <c r="D289" s="18" t="str">
        <f>IF($C289="","",IFERROR(INDEX(Clients!$B$5:$B$1000,MATCH($C289,Clients!$A$5:$A$1000,0)),"Unknown client ID"))</f>
        <v/>
      </c>
      <c r="E289" s="16"/>
      <c r="F289" s="16"/>
      <c r="G289" s="17"/>
      <c r="J289" s="12" t="str">
        <f>IF($A289="","",IF(COUNTIFS(Tasks!$B$5:$B$1000,$A289,Tasks!$A$5:$A$1000,"&lt;&gt;")=0,0,COUNTIFS(Tasks!$B$5:$B$1000,$A289,Tasks!$A$5:$A$1000,"&lt;&gt;",Tasks!$D$5:$D$1000,"Done")/COUNTIFS(Tasks!$B$5:$B$1000,$A289,Tasks!$A$5:$A$1000,"&lt;&gt;")))</f>
        <v/>
      </c>
      <c r="K289" s="11" t="str">
        <f>IF(OR($A289="",$F289=""),"",$F289-Overview!$B$3)</f>
        <v/>
      </c>
    </row>
    <row r="290" spans="4:11" x14ac:dyDescent="0.25">
      <c r="D290" s="18" t="str">
        <f>IF($C290="","",IFERROR(INDEX(Clients!$B$5:$B$1000,MATCH($C290,Clients!$A$5:$A$1000,0)),"Unknown client ID"))</f>
        <v/>
      </c>
      <c r="E290" s="16"/>
      <c r="F290" s="16"/>
      <c r="G290" s="17"/>
      <c r="J290" s="12" t="str">
        <f>IF($A290="","",IF(COUNTIFS(Tasks!$B$5:$B$1000,$A290,Tasks!$A$5:$A$1000,"&lt;&gt;")=0,0,COUNTIFS(Tasks!$B$5:$B$1000,$A290,Tasks!$A$5:$A$1000,"&lt;&gt;",Tasks!$D$5:$D$1000,"Done")/COUNTIFS(Tasks!$B$5:$B$1000,$A290,Tasks!$A$5:$A$1000,"&lt;&gt;")))</f>
        <v/>
      </c>
      <c r="K290" s="11" t="str">
        <f>IF(OR($A290="",$F290=""),"",$F290-Overview!$B$3)</f>
        <v/>
      </c>
    </row>
    <row r="291" spans="4:11" x14ac:dyDescent="0.25">
      <c r="D291" s="18" t="str">
        <f>IF($C291="","",IFERROR(INDEX(Clients!$B$5:$B$1000,MATCH($C291,Clients!$A$5:$A$1000,0)),"Unknown client ID"))</f>
        <v/>
      </c>
      <c r="E291" s="16"/>
      <c r="F291" s="16"/>
      <c r="G291" s="17"/>
      <c r="J291" s="12" t="str">
        <f>IF($A291="","",IF(COUNTIFS(Tasks!$B$5:$B$1000,$A291,Tasks!$A$5:$A$1000,"&lt;&gt;")=0,0,COUNTIFS(Tasks!$B$5:$B$1000,$A291,Tasks!$A$5:$A$1000,"&lt;&gt;",Tasks!$D$5:$D$1000,"Done")/COUNTIFS(Tasks!$B$5:$B$1000,$A291,Tasks!$A$5:$A$1000,"&lt;&gt;")))</f>
        <v/>
      </c>
      <c r="K291" s="11" t="str">
        <f>IF(OR($A291="",$F291=""),"",$F291-Overview!$B$3)</f>
        <v/>
      </c>
    </row>
    <row r="292" spans="4:11" x14ac:dyDescent="0.25">
      <c r="D292" s="18" t="str">
        <f>IF($C292="","",IFERROR(INDEX(Clients!$B$5:$B$1000,MATCH($C292,Clients!$A$5:$A$1000,0)),"Unknown client ID"))</f>
        <v/>
      </c>
      <c r="E292" s="16"/>
      <c r="F292" s="16"/>
      <c r="G292" s="17"/>
      <c r="J292" s="12" t="str">
        <f>IF($A292="","",IF(COUNTIFS(Tasks!$B$5:$B$1000,$A292,Tasks!$A$5:$A$1000,"&lt;&gt;")=0,0,COUNTIFS(Tasks!$B$5:$B$1000,$A292,Tasks!$A$5:$A$1000,"&lt;&gt;",Tasks!$D$5:$D$1000,"Done")/COUNTIFS(Tasks!$B$5:$B$1000,$A292,Tasks!$A$5:$A$1000,"&lt;&gt;")))</f>
        <v/>
      </c>
      <c r="K292" s="11" t="str">
        <f>IF(OR($A292="",$F292=""),"",$F292-Overview!$B$3)</f>
        <v/>
      </c>
    </row>
    <row r="293" spans="4:11" x14ac:dyDescent="0.25">
      <c r="D293" s="18" t="str">
        <f>IF($C293="","",IFERROR(INDEX(Clients!$B$5:$B$1000,MATCH($C293,Clients!$A$5:$A$1000,0)),"Unknown client ID"))</f>
        <v/>
      </c>
      <c r="E293" s="16"/>
      <c r="F293" s="16"/>
      <c r="G293" s="17"/>
      <c r="J293" s="12" t="str">
        <f>IF($A293="","",IF(COUNTIFS(Tasks!$B$5:$B$1000,$A293,Tasks!$A$5:$A$1000,"&lt;&gt;")=0,0,COUNTIFS(Tasks!$B$5:$B$1000,$A293,Tasks!$A$5:$A$1000,"&lt;&gt;",Tasks!$D$5:$D$1000,"Done")/COUNTIFS(Tasks!$B$5:$B$1000,$A293,Tasks!$A$5:$A$1000,"&lt;&gt;")))</f>
        <v/>
      </c>
      <c r="K293" s="11" t="str">
        <f>IF(OR($A293="",$F293=""),"",$F293-Overview!$B$3)</f>
        <v/>
      </c>
    </row>
    <row r="294" spans="4:11" x14ac:dyDescent="0.25">
      <c r="D294" s="18" t="str">
        <f>IF($C294="","",IFERROR(INDEX(Clients!$B$5:$B$1000,MATCH($C294,Clients!$A$5:$A$1000,0)),"Unknown client ID"))</f>
        <v/>
      </c>
      <c r="E294" s="16"/>
      <c r="F294" s="16"/>
      <c r="G294" s="17"/>
      <c r="J294" s="12" t="str">
        <f>IF($A294="","",IF(COUNTIFS(Tasks!$B$5:$B$1000,$A294,Tasks!$A$5:$A$1000,"&lt;&gt;")=0,0,COUNTIFS(Tasks!$B$5:$B$1000,$A294,Tasks!$A$5:$A$1000,"&lt;&gt;",Tasks!$D$5:$D$1000,"Done")/COUNTIFS(Tasks!$B$5:$B$1000,$A294,Tasks!$A$5:$A$1000,"&lt;&gt;")))</f>
        <v/>
      </c>
      <c r="K294" s="11" t="str">
        <f>IF(OR($A294="",$F294=""),"",$F294-Overview!$B$3)</f>
        <v/>
      </c>
    </row>
    <row r="295" spans="4:11" x14ac:dyDescent="0.25">
      <c r="D295" s="18" t="str">
        <f>IF($C295="","",IFERROR(INDEX(Clients!$B$5:$B$1000,MATCH($C295,Clients!$A$5:$A$1000,0)),"Unknown client ID"))</f>
        <v/>
      </c>
      <c r="E295" s="16"/>
      <c r="F295" s="16"/>
      <c r="G295" s="17"/>
      <c r="J295" s="12" t="str">
        <f>IF($A295="","",IF(COUNTIFS(Tasks!$B$5:$B$1000,$A295,Tasks!$A$5:$A$1000,"&lt;&gt;")=0,0,COUNTIFS(Tasks!$B$5:$B$1000,$A295,Tasks!$A$5:$A$1000,"&lt;&gt;",Tasks!$D$5:$D$1000,"Done")/COUNTIFS(Tasks!$B$5:$B$1000,$A295,Tasks!$A$5:$A$1000,"&lt;&gt;")))</f>
        <v/>
      </c>
      <c r="K295" s="11" t="str">
        <f>IF(OR($A295="",$F295=""),"",$F295-Overview!$B$3)</f>
        <v/>
      </c>
    </row>
    <row r="296" spans="4:11" x14ac:dyDescent="0.25">
      <c r="D296" s="18" t="str">
        <f>IF($C296="","",IFERROR(INDEX(Clients!$B$5:$B$1000,MATCH($C296,Clients!$A$5:$A$1000,0)),"Unknown client ID"))</f>
        <v/>
      </c>
      <c r="E296" s="16"/>
      <c r="F296" s="16"/>
      <c r="G296" s="17"/>
      <c r="J296" s="12" t="str">
        <f>IF($A296="","",IF(COUNTIFS(Tasks!$B$5:$B$1000,$A296,Tasks!$A$5:$A$1000,"&lt;&gt;")=0,0,COUNTIFS(Tasks!$B$5:$B$1000,$A296,Tasks!$A$5:$A$1000,"&lt;&gt;",Tasks!$D$5:$D$1000,"Done")/COUNTIFS(Tasks!$B$5:$B$1000,$A296,Tasks!$A$5:$A$1000,"&lt;&gt;")))</f>
        <v/>
      </c>
      <c r="K296" s="11" t="str">
        <f>IF(OR($A296="",$F296=""),"",$F296-Overview!$B$3)</f>
        <v/>
      </c>
    </row>
    <row r="297" spans="4:11" x14ac:dyDescent="0.25">
      <c r="D297" s="18" t="str">
        <f>IF($C297="","",IFERROR(INDEX(Clients!$B$5:$B$1000,MATCH($C297,Clients!$A$5:$A$1000,0)),"Unknown client ID"))</f>
        <v/>
      </c>
      <c r="E297" s="16"/>
      <c r="F297" s="16"/>
      <c r="G297" s="17"/>
      <c r="J297" s="12" t="str">
        <f>IF($A297="","",IF(COUNTIFS(Tasks!$B$5:$B$1000,$A297,Tasks!$A$5:$A$1000,"&lt;&gt;")=0,0,COUNTIFS(Tasks!$B$5:$B$1000,$A297,Tasks!$A$5:$A$1000,"&lt;&gt;",Tasks!$D$5:$D$1000,"Done")/COUNTIFS(Tasks!$B$5:$B$1000,$A297,Tasks!$A$5:$A$1000,"&lt;&gt;")))</f>
        <v/>
      </c>
      <c r="K297" s="11" t="str">
        <f>IF(OR($A297="",$F297=""),"",$F297-Overview!$B$3)</f>
        <v/>
      </c>
    </row>
    <row r="298" spans="4:11" x14ac:dyDescent="0.25">
      <c r="D298" s="18" t="str">
        <f>IF($C298="","",IFERROR(INDEX(Clients!$B$5:$B$1000,MATCH($C298,Clients!$A$5:$A$1000,0)),"Unknown client ID"))</f>
        <v/>
      </c>
      <c r="E298" s="16"/>
      <c r="F298" s="16"/>
      <c r="G298" s="17"/>
      <c r="J298" s="12" t="str">
        <f>IF($A298="","",IF(COUNTIFS(Tasks!$B$5:$B$1000,$A298,Tasks!$A$5:$A$1000,"&lt;&gt;")=0,0,COUNTIFS(Tasks!$B$5:$B$1000,$A298,Tasks!$A$5:$A$1000,"&lt;&gt;",Tasks!$D$5:$D$1000,"Done")/COUNTIFS(Tasks!$B$5:$B$1000,$A298,Tasks!$A$5:$A$1000,"&lt;&gt;")))</f>
        <v/>
      </c>
      <c r="K298" s="11" t="str">
        <f>IF(OR($A298="",$F298=""),"",$F298-Overview!$B$3)</f>
        <v/>
      </c>
    </row>
    <row r="299" spans="4:11" x14ac:dyDescent="0.25">
      <c r="D299" s="18" t="str">
        <f>IF($C299="","",IFERROR(INDEX(Clients!$B$5:$B$1000,MATCH($C299,Clients!$A$5:$A$1000,0)),"Unknown client ID"))</f>
        <v/>
      </c>
      <c r="E299" s="16"/>
      <c r="F299" s="16"/>
      <c r="G299" s="17"/>
      <c r="J299" s="12" t="str">
        <f>IF($A299="","",IF(COUNTIFS(Tasks!$B$5:$B$1000,$A299,Tasks!$A$5:$A$1000,"&lt;&gt;")=0,0,COUNTIFS(Tasks!$B$5:$B$1000,$A299,Tasks!$A$5:$A$1000,"&lt;&gt;",Tasks!$D$5:$D$1000,"Done")/COUNTIFS(Tasks!$B$5:$B$1000,$A299,Tasks!$A$5:$A$1000,"&lt;&gt;")))</f>
        <v/>
      </c>
      <c r="K299" s="11" t="str">
        <f>IF(OR($A299="",$F299=""),"",$F299-Overview!$B$3)</f>
        <v/>
      </c>
    </row>
    <row r="300" spans="4:11" x14ac:dyDescent="0.25">
      <c r="D300" s="18" t="str">
        <f>IF($C300="","",IFERROR(INDEX(Clients!$B$5:$B$1000,MATCH($C300,Clients!$A$5:$A$1000,0)),"Unknown client ID"))</f>
        <v/>
      </c>
      <c r="E300" s="16"/>
      <c r="F300" s="16"/>
      <c r="G300" s="17"/>
      <c r="J300" s="12" t="str">
        <f>IF($A300="","",IF(COUNTIFS(Tasks!$B$5:$B$1000,$A300,Tasks!$A$5:$A$1000,"&lt;&gt;")=0,0,COUNTIFS(Tasks!$B$5:$B$1000,$A300,Tasks!$A$5:$A$1000,"&lt;&gt;",Tasks!$D$5:$D$1000,"Done")/COUNTIFS(Tasks!$B$5:$B$1000,$A300,Tasks!$A$5:$A$1000,"&lt;&gt;")))</f>
        <v/>
      </c>
      <c r="K300" s="11" t="str">
        <f>IF(OR($A300="",$F300=""),"",$F300-Overview!$B$3)</f>
        <v/>
      </c>
    </row>
    <row r="301" spans="4:11" x14ac:dyDescent="0.25">
      <c r="D301" s="18" t="str">
        <f>IF($C301="","",IFERROR(INDEX(Clients!$B$5:$B$1000,MATCH($C301,Clients!$A$5:$A$1000,0)),"Unknown client ID"))</f>
        <v/>
      </c>
      <c r="E301" s="16"/>
      <c r="F301" s="16"/>
      <c r="G301" s="17"/>
      <c r="J301" s="12" t="str">
        <f>IF($A301="","",IF(COUNTIFS(Tasks!$B$5:$B$1000,$A301,Tasks!$A$5:$A$1000,"&lt;&gt;")=0,0,COUNTIFS(Tasks!$B$5:$B$1000,$A301,Tasks!$A$5:$A$1000,"&lt;&gt;",Tasks!$D$5:$D$1000,"Done")/COUNTIFS(Tasks!$B$5:$B$1000,$A301,Tasks!$A$5:$A$1000,"&lt;&gt;")))</f>
        <v/>
      </c>
      <c r="K301" s="11" t="str">
        <f>IF(OR($A301="",$F301=""),"",$F301-Overview!$B$3)</f>
        <v/>
      </c>
    </row>
    <row r="302" spans="4:11" x14ac:dyDescent="0.25">
      <c r="D302" s="18" t="str">
        <f>IF($C302="","",IFERROR(INDEX(Clients!$B$5:$B$1000,MATCH($C302,Clients!$A$5:$A$1000,0)),"Unknown client ID"))</f>
        <v/>
      </c>
      <c r="E302" s="16"/>
      <c r="F302" s="16"/>
      <c r="G302" s="17"/>
      <c r="J302" s="12" t="str">
        <f>IF($A302="","",IF(COUNTIFS(Tasks!$B$5:$B$1000,$A302,Tasks!$A$5:$A$1000,"&lt;&gt;")=0,0,COUNTIFS(Tasks!$B$5:$B$1000,$A302,Tasks!$A$5:$A$1000,"&lt;&gt;",Tasks!$D$5:$D$1000,"Done")/COUNTIFS(Tasks!$B$5:$B$1000,$A302,Tasks!$A$5:$A$1000,"&lt;&gt;")))</f>
        <v/>
      </c>
      <c r="K302" s="11" t="str">
        <f>IF(OR($A302="",$F302=""),"",$F302-Overview!$B$3)</f>
        <v/>
      </c>
    </row>
    <row r="303" spans="4:11" x14ac:dyDescent="0.25">
      <c r="D303" s="18" t="str">
        <f>IF($C303="","",IFERROR(INDEX(Clients!$B$5:$B$1000,MATCH($C303,Clients!$A$5:$A$1000,0)),"Unknown client ID"))</f>
        <v/>
      </c>
      <c r="E303" s="16"/>
      <c r="F303" s="16"/>
      <c r="G303" s="17"/>
      <c r="J303" s="12" t="str">
        <f>IF($A303="","",IF(COUNTIFS(Tasks!$B$5:$B$1000,$A303,Tasks!$A$5:$A$1000,"&lt;&gt;")=0,0,COUNTIFS(Tasks!$B$5:$B$1000,$A303,Tasks!$A$5:$A$1000,"&lt;&gt;",Tasks!$D$5:$D$1000,"Done")/COUNTIFS(Tasks!$B$5:$B$1000,$A303,Tasks!$A$5:$A$1000,"&lt;&gt;")))</f>
        <v/>
      </c>
      <c r="K303" s="11" t="str">
        <f>IF(OR($A303="",$F303=""),"",$F303-Overview!$B$3)</f>
        <v/>
      </c>
    </row>
    <row r="304" spans="4:11" x14ac:dyDescent="0.25">
      <c r="D304" s="18" t="str">
        <f>IF($C304="","",IFERROR(INDEX(Clients!$B$5:$B$1000,MATCH($C304,Clients!$A$5:$A$1000,0)),"Unknown client ID"))</f>
        <v/>
      </c>
      <c r="E304" s="16"/>
      <c r="F304" s="16"/>
      <c r="G304" s="17"/>
      <c r="J304" s="12" t="str">
        <f>IF($A304="","",IF(COUNTIFS(Tasks!$B$5:$B$1000,$A304,Tasks!$A$5:$A$1000,"&lt;&gt;")=0,0,COUNTIFS(Tasks!$B$5:$B$1000,$A304,Tasks!$A$5:$A$1000,"&lt;&gt;",Tasks!$D$5:$D$1000,"Done")/COUNTIFS(Tasks!$B$5:$B$1000,$A304,Tasks!$A$5:$A$1000,"&lt;&gt;")))</f>
        <v/>
      </c>
      <c r="K304" s="11" t="str">
        <f>IF(OR($A304="",$F304=""),"",$F304-Overview!$B$3)</f>
        <v/>
      </c>
    </row>
    <row r="305" spans="4:11" x14ac:dyDescent="0.25">
      <c r="D305" s="18" t="str">
        <f>IF($C305="","",IFERROR(INDEX(Clients!$B$5:$B$1000,MATCH($C305,Clients!$A$5:$A$1000,0)),"Unknown client ID"))</f>
        <v/>
      </c>
      <c r="E305" s="16"/>
      <c r="F305" s="16"/>
      <c r="G305" s="17"/>
      <c r="J305" s="12" t="str">
        <f>IF($A305="","",IF(COUNTIFS(Tasks!$B$5:$B$1000,$A305,Tasks!$A$5:$A$1000,"&lt;&gt;")=0,0,COUNTIFS(Tasks!$B$5:$B$1000,$A305,Tasks!$A$5:$A$1000,"&lt;&gt;",Tasks!$D$5:$D$1000,"Done")/COUNTIFS(Tasks!$B$5:$B$1000,$A305,Tasks!$A$5:$A$1000,"&lt;&gt;")))</f>
        <v/>
      </c>
      <c r="K305" s="11" t="str">
        <f>IF(OR($A305="",$F305=""),"",$F305-Overview!$B$3)</f>
        <v/>
      </c>
    </row>
    <row r="306" spans="4:11" x14ac:dyDescent="0.25">
      <c r="D306" s="18" t="str">
        <f>IF($C306="","",IFERROR(INDEX(Clients!$B$5:$B$1000,MATCH($C306,Clients!$A$5:$A$1000,0)),"Unknown client ID"))</f>
        <v/>
      </c>
      <c r="E306" s="16"/>
      <c r="F306" s="16"/>
      <c r="G306" s="17"/>
      <c r="J306" s="12" t="str">
        <f>IF($A306="","",IF(COUNTIFS(Tasks!$B$5:$B$1000,$A306,Tasks!$A$5:$A$1000,"&lt;&gt;")=0,0,COUNTIFS(Tasks!$B$5:$B$1000,$A306,Tasks!$A$5:$A$1000,"&lt;&gt;",Tasks!$D$5:$D$1000,"Done")/COUNTIFS(Tasks!$B$5:$B$1000,$A306,Tasks!$A$5:$A$1000,"&lt;&gt;")))</f>
        <v/>
      </c>
      <c r="K306" s="11" t="str">
        <f>IF(OR($A306="",$F306=""),"",$F306-Overview!$B$3)</f>
        <v/>
      </c>
    </row>
    <row r="307" spans="4:11" x14ac:dyDescent="0.25">
      <c r="D307" s="18" t="str">
        <f>IF($C307="","",IFERROR(INDEX(Clients!$B$5:$B$1000,MATCH($C307,Clients!$A$5:$A$1000,0)),"Unknown client ID"))</f>
        <v/>
      </c>
      <c r="E307" s="16"/>
      <c r="F307" s="16"/>
      <c r="G307" s="17"/>
      <c r="J307" s="12" t="str">
        <f>IF($A307="","",IF(COUNTIFS(Tasks!$B$5:$B$1000,$A307,Tasks!$A$5:$A$1000,"&lt;&gt;")=0,0,COUNTIFS(Tasks!$B$5:$B$1000,$A307,Tasks!$A$5:$A$1000,"&lt;&gt;",Tasks!$D$5:$D$1000,"Done")/COUNTIFS(Tasks!$B$5:$B$1000,$A307,Tasks!$A$5:$A$1000,"&lt;&gt;")))</f>
        <v/>
      </c>
      <c r="K307" s="11" t="str">
        <f>IF(OR($A307="",$F307=""),"",$F307-Overview!$B$3)</f>
        <v/>
      </c>
    </row>
    <row r="308" spans="4:11" x14ac:dyDescent="0.25">
      <c r="D308" s="18" t="str">
        <f>IF($C308="","",IFERROR(INDEX(Clients!$B$5:$B$1000,MATCH($C308,Clients!$A$5:$A$1000,0)),"Unknown client ID"))</f>
        <v/>
      </c>
      <c r="E308" s="16"/>
      <c r="F308" s="16"/>
      <c r="G308" s="17"/>
      <c r="J308" s="12" t="str">
        <f>IF($A308="","",IF(COUNTIFS(Tasks!$B$5:$B$1000,$A308,Tasks!$A$5:$A$1000,"&lt;&gt;")=0,0,COUNTIFS(Tasks!$B$5:$B$1000,$A308,Tasks!$A$5:$A$1000,"&lt;&gt;",Tasks!$D$5:$D$1000,"Done")/COUNTIFS(Tasks!$B$5:$B$1000,$A308,Tasks!$A$5:$A$1000,"&lt;&gt;")))</f>
        <v/>
      </c>
      <c r="K308" s="11" t="str">
        <f>IF(OR($A308="",$F308=""),"",$F308-Overview!$B$3)</f>
        <v/>
      </c>
    </row>
    <row r="309" spans="4:11" x14ac:dyDescent="0.25">
      <c r="D309" s="18" t="str">
        <f>IF($C309="","",IFERROR(INDEX(Clients!$B$5:$B$1000,MATCH($C309,Clients!$A$5:$A$1000,0)),"Unknown client ID"))</f>
        <v/>
      </c>
      <c r="E309" s="16"/>
      <c r="F309" s="16"/>
      <c r="G309" s="17"/>
      <c r="J309" s="12" t="str">
        <f>IF($A309="","",IF(COUNTIFS(Tasks!$B$5:$B$1000,$A309,Tasks!$A$5:$A$1000,"&lt;&gt;")=0,0,COUNTIFS(Tasks!$B$5:$B$1000,$A309,Tasks!$A$5:$A$1000,"&lt;&gt;",Tasks!$D$5:$D$1000,"Done")/COUNTIFS(Tasks!$B$5:$B$1000,$A309,Tasks!$A$5:$A$1000,"&lt;&gt;")))</f>
        <v/>
      </c>
      <c r="K309" s="11" t="str">
        <f>IF(OR($A309="",$F309=""),"",$F309-Overview!$B$3)</f>
        <v/>
      </c>
    </row>
    <row r="310" spans="4:11" x14ac:dyDescent="0.25">
      <c r="D310" s="18" t="str">
        <f>IF($C310="","",IFERROR(INDEX(Clients!$B$5:$B$1000,MATCH($C310,Clients!$A$5:$A$1000,0)),"Unknown client ID"))</f>
        <v/>
      </c>
      <c r="E310" s="16"/>
      <c r="F310" s="16"/>
      <c r="G310" s="17"/>
      <c r="J310" s="12" t="str">
        <f>IF($A310="","",IF(COUNTIFS(Tasks!$B$5:$B$1000,$A310,Tasks!$A$5:$A$1000,"&lt;&gt;")=0,0,COUNTIFS(Tasks!$B$5:$B$1000,$A310,Tasks!$A$5:$A$1000,"&lt;&gt;",Tasks!$D$5:$D$1000,"Done")/COUNTIFS(Tasks!$B$5:$B$1000,$A310,Tasks!$A$5:$A$1000,"&lt;&gt;")))</f>
        <v/>
      </c>
      <c r="K310" s="11" t="str">
        <f>IF(OR($A310="",$F310=""),"",$F310-Overview!$B$3)</f>
        <v/>
      </c>
    </row>
    <row r="311" spans="4:11" x14ac:dyDescent="0.25">
      <c r="D311" s="18" t="str">
        <f>IF($C311="","",IFERROR(INDEX(Clients!$B$5:$B$1000,MATCH($C311,Clients!$A$5:$A$1000,0)),"Unknown client ID"))</f>
        <v/>
      </c>
      <c r="E311" s="16"/>
      <c r="F311" s="16"/>
      <c r="G311" s="17"/>
      <c r="J311" s="12" t="str">
        <f>IF($A311="","",IF(COUNTIFS(Tasks!$B$5:$B$1000,$A311,Tasks!$A$5:$A$1000,"&lt;&gt;")=0,0,COUNTIFS(Tasks!$B$5:$B$1000,$A311,Tasks!$A$5:$A$1000,"&lt;&gt;",Tasks!$D$5:$D$1000,"Done")/COUNTIFS(Tasks!$B$5:$B$1000,$A311,Tasks!$A$5:$A$1000,"&lt;&gt;")))</f>
        <v/>
      </c>
      <c r="K311" s="11" t="str">
        <f>IF(OR($A311="",$F311=""),"",$F311-Overview!$B$3)</f>
        <v/>
      </c>
    </row>
    <row r="312" spans="4:11" x14ac:dyDescent="0.25">
      <c r="D312" s="18" t="str">
        <f>IF($C312="","",IFERROR(INDEX(Clients!$B$5:$B$1000,MATCH($C312,Clients!$A$5:$A$1000,0)),"Unknown client ID"))</f>
        <v/>
      </c>
      <c r="E312" s="16"/>
      <c r="F312" s="16"/>
      <c r="G312" s="17"/>
      <c r="J312" s="12" t="str">
        <f>IF($A312="","",IF(COUNTIFS(Tasks!$B$5:$B$1000,$A312,Tasks!$A$5:$A$1000,"&lt;&gt;")=0,0,COUNTIFS(Tasks!$B$5:$B$1000,$A312,Tasks!$A$5:$A$1000,"&lt;&gt;",Tasks!$D$5:$D$1000,"Done")/COUNTIFS(Tasks!$B$5:$B$1000,$A312,Tasks!$A$5:$A$1000,"&lt;&gt;")))</f>
        <v/>
      </c>
      <c r="K312" s="11" t="str">
        <f>IF(OR($A312="",$F312=""),"",$F312-Overview!$B$3)</f>
        <v/>
      </c>
    </row>
    <row r="313" spans="4:11" x14ac:dyDescent="0.25">
      <c r="D313" s="18" t="str">
        <f>IF($C313="","",IFERROR(INDEX(Clients!$B$5:$B$1000,MATCH($C313,Clients!$A$5:$A$1000,0)),"Unknown client ID"))</f>
        <v/>
      </c>
      <c r="E313" s="16"/>
      <c r="F313" s="16"/>
      <c r="G313" s="17"/>
      <c r="J313" s="12" t="str">
        <f>IF($A313="","",IF(COUNTIFS(Tasks!$B$5:$B$1000,$A313,Tasks!$A$5:$A$1000,"&lt;&gt;")=0,0,COUNTIFS(Tasks!$B$5:$B$1000,$A313,Tasks!$A$5:$A$1000,"&lt;&gt;",Tasks!$D$5:$D$1000,"Done")/COUNTIFS(Tasks!$B$5:$B$1000,$A313,Tasks!$A$5:$A$1000,"&lt;&gt;")))</f>
        <v/>
      </c>
      <c r="K313" s="11" t="str">
        <f>IF(OR($A313="",$F313=""),"",$F313-Overview!$B$3)</f>
        <v/>
      </c>
    </row>
    <row r="314" spans="4:11" x14ac:dyDescent="0.25">
      <c r="D314" s="18" t="str">
        <f>IF($C314="","",IFERROR(INDEX(Clients!$B$5:$B$1000,MATCH($C314,Clients!$A$5:$A$1000,0)),"Unknown client ID"))</f>
        <v/>
      </c>
      <c r="E314" s="16"/>
      <c r="F314" s="16"/>
      <c r="G314" s="17"/>
      <c r="J314" s="12" t="str">
        <f>IF($A314="","",IF(COUNTIFS(Tasks!$B$5:$B$1000,$A314,Tasks!$A$5:$A$1000,"&lt;&gt;")=0,0,COUNTIFS(Tasks!$B$5:$B$1000,$A314,Tasks!$A$5:$A$1000,"&lt;&gt;",Tasks!$D$5:$D$1000,"Done")/COUNTIFS(Tasks!$B$5:$B$1000,$A314,Tasks!$A$5:$A$1000,"&lt;&gt;")))</f>
        <v/>
      </c>
      <c r="K314" s="11" t="str">
        <f>IF(OR($A314="",$F314=""),"",$F314-Overview!$B$3)</f>
        <v/>
      </c>
    </row>
    <row r="315" spans="4:11" x14ac:dyDescent="0.25">
      <c r="D315" s="18" t="str">
        <f>IF($C315="","",IFERROR(INDEX(Clients!$B$5:$B$1000,MATCH($C315,Clients!$A$5:$A$1000,0)),"Unknown client ID"))</f>
        <v/>
      </c>
      <c r="E315" s="16"/>
      <c r="F315" s="16"/>
      <c r="G315" s="17"/>
      <c r="J315" s="12" t="str">
        <f>IF($A315="","",IF(COUNTIFS(Tasks!$B$5:$B$1000,$A315,Tasks!$A$5:$A$1000,"&lt;&gt;")=0,0,COUNTIFS(Tasks!$B$5:$B$1000,$A315,Tasks!$A$5:$A$1000,"&lt;&gt;",Tasks!$D$5:$D$1000,"Done")/COUNTIFS(Tasks!$B$5:$B$1000,$A315,Tasks!$A$5:$A$1000,"&lt;&gt;")))</f>
        <v/>
      </c>
      <c r="K315" s="11" t="str">
        <f>IF(OR($A315="",$F315=""),"",$F315-Overview!$B$3)</f>
        <v/>
      </c>
    </row>
    <row r="316" spans="4:11" x14ac:dyDescent="0.25">
      <c r="D316" s="18" t="str">
        <f>IF($C316="","",IFERROR(INDEX(Clients!$B$5:$B$1000,MATCH($C316,Clients!$A$5:$A$1000,0)),"Unknown client ID"))</f>
        <v/>
      </c>
      <c r="E316" s="16"/>
      <c r="F316" s="16"/>
      <c r="G316" s="17"/>
      <c r="J316" s="12" t="str">
        <f>IF($A316="","",IF(COUNTIFS(Tasks!$B$5:$B$1000,$A316,Tasks!$A$5:$A$1000,"&lt;&gt;")=0,0,COUNTIFS(Tasks!$B$5:$B$1000,$A316,Tasks!$A$5:$A$1000,"&lt;&gt;",Tasks!$D$5:$D$1000,"Done")/COUNTIFS(Tasks!$B$5:$B$1000,$A316,Tasks!$A$5:$A$1000,"&lt;&gt;")))</f>
        <v/>
      </c>
      <c r="K316" s="11" t="str">
        <f>IF(OR($A316="",$F316=""),"",$F316-Overview!$B$3)</f>
        <v/>
      </c>
    </row>
    <row r="317" spans="4:11" x14ac:dyDescent="0.25">
      <c r="D317" s="18" t="str">
        <f>IF($C317="","",IFERROR(INDEX(Clients!$B$5:$B$1000,MATCH($C317,Clients!$A$5:$A$1000,0)),"Unknown client ID"))</f>
        <v/>
      </c>
      <c r="E317" s="16"/>
      <c r="F317" s="16"/>
      <c r="G317" s="17"/>
      <c r="J317" s="12" t="str">
        <f>IF($A317="","",IF(COUNTIFS(Tasks!$B$5:$B$1000,$A317,Tasks!$A$5:$A$1000,"&lt;&gt;")=0,0,COUNTIFS(Tasks!$B$5:$B$1000,$A317,Tasks!$A$5:$A$1000,"&lt;&gt;",Tasks!$D$5:$D$1000,"Done")/COUNTIFS(Tasks!$B$5:$B$1000,$A317,Tasks!$A$5:$A$1000,"&lt;&gt;")))</f>
        <v/>
      </c>
      <c r="K317" s="11" t="str">
        <f>IF(OR($A317="",$F317=""),"",$F317-Overview!$B$3)</f>
        <v/>
      </c>
    </row>
    <row r="318" spans="4:11" x14ac:dyDescent="0.25">
      <c r="D318" s="18" t="str">
        <f>IF($C318="","",IFERROR(INDEX(Clients!$B$5:$B$1000,MATCH($C318,Clients!$A$5:$A$1000,0)),"Unknown client ID"))</f>
        <v/>
      </c>
      <c r="E318" s="16"/>
      <c r="F318" s="16"/>
      <c r="G318" s="17"/>
      <c r="J318" s="12" t="str">
        <f>IF($A318="","",IF(COUNTIFS(Tasks!$B$5:$B$1000,$A318,Tasks!$A$5:$A$1000,"&lt;&gt;")=0,0,COUNTIFS(Tasks!$B$5:$B$1000,$A318,Tasks!$A$5:$A$1000,"&lt;&gt;",Tasks!$D$5:$D$1000,"Done")/COUNTIFS(Tasks!$B$5:$B$1000,$A318,Tasks!$A$5:$A$1000,"&lt;&gt;")))</f>
        <v/>
      </c>
      <c r="K318" s="11" t="str">
        <f>IF(OR($A318="",$F318=""),"",$F318-Overview!$B$3)</f>
        <v/>
      </c>
    </row>
    <row r="319" spans="4:11" x14ac:dyDescent="0.25">
      <c r="D319" s="18" t="str">
        <f>IF($C319="","",IFERROR(INDEX(Clients!$B$5:$B$1000,MATCH($C319,Clients!$A$5:$A$1000,0)),"Unknown client ID"))</f>
        <v/>
      </c>
      <c r="E319" s="16"/>
      <c r="F319" s="16"/>
      <c r="G319" s="17"/>
      <c r="J319" s="12" t="str">
        <f>IF($A319="","",IF(COUNTIFS(Tasks!$B$5:$B$1000,$A319,Tasks!$A$5:$A$1000,"&lt;&gt;")=0,0,COUNTIFS(Tasks!$B$5:$B$1000,$A319,Tasks!$A$5:$A$1000,"&lt;&gt;",Tasks!$D$5:$D$1000,"Done")/COUNTIFS(Tasks!$B$5:$B$1000,$A319,Tasks!$A$5:$A$1000,"&lt;&gt;")))</f>
        <v/>
      </c>
      <c r="K319" s="11" t="str">
        <f>IF(OR($A319="",$F319=""),"",$F319-Overview!$B$3)</f>
        <v/>
      </c>
    </row>
    <row r="320" spans="4:11" x14ac:dyDescent="0.25">
      <c r="D320" s="18" t="str">
        <f>IF($C320="","",IFERROR(INDEX(Clients!$B$5:$B$1000,MATCH($C320,Clients!$A$5:$A$1000,0)),"Unknown client ID"))</f>
        <v/>
      </c>
      <c r="E320" s="16"/>
      <c r="F320" s="16"/>
      <c r="G320" s="17"/>
      <c r="J320" s="12" t="str">
        <f>IF($A320="","",IF(COUNTIFS(Tasks!$B$5:$B$1000,$A320,Tasks!$A$5:$A$1000,"&lt;&gt;")=0,0,COUNTIFS(Tasks!$B$5:$B$1000,$A320,Tasks!$A$5:$A$1000,"&lt;&gt;",Tasks!$D$5:$D$1000,"Done")/COUNTIFS(Tasks!$B$5:$B$1000,$A320,Tasks!$A$5:$A$1000,"&lt;&gt;")))</f>
        <v/>
      </c>
      <c r="K320" s="11" t="str">
        <f>IF(OR($A320="",$F320=""),"",$F320-Overview!$B$3)</f>
        <v/>
      </c>
    </row>
    <row r="321" spans="4:11" x14ac:dyDescent="0.25">
      <c r="D321" s="18" t="str">
        <f>IF($C321="","",IFERROR(INDEX(Clients!$B$5:$B$1000,MATCH($C321,Clients!$A$5:$A$1000,0)),"Unknown client ID"))</f>
        <v/>
      </c>
      <c r="E321" s="16"/>
      <c r="F321" s="16"/>
      <c r="G321" s="17"/>
      <c r="J321" s="12" t="str">
        <f>IF($A321="","",IF(COUNTIFS(Tasks!$B$5:$B$1000,$A321,Tasks!$A$5:$A$1000,"&lt;&gt;")=0,0,COUNTIFS(Tasks!$B$5:$B$1000,$A321,Tasks!$A$5:$A$1000,"&lt;&gt;",Tasks!$D$5:$D$1000,"Done")/COUNTIFS(Tasks!$B$5:$B$1000,$A321,Tasks!$A$5:$A$1000,"&lt;&gt;")))</f>
        <v/>
      </c>
      <c r="K321" s="11" t="str">
        <f>IF(OR($A321="",$F321=""),"",$F321-Overview!$B$3)</f>
        <v/>
      </c>
    </row>
    <row r="322" spans="4:11" x14ac:dyDescent="0.25">
      <c r="D322" s="18" t="str">
        <f>IF($C322="","",IFERROR(INDEX(Clients!$B$5:$B$1000,MATCH($C322,Clients!$A$5:$A$1000,0)),"Unknown client ID"))</f>
        <v/>
      </c>
      <c r="E322" s="16"/>
      <c r="F322" s="16"/>
      <c r="G322" s="17"/>
      <c r="J322" s="12" t="str">
        <f>IF($A322="","",IF(COUNTIFS(Tasks!$B$5:$B$1000,$A322,Tasks!$A$5:$A$1000,"&lt;&gt;")=0,0,COUNTIFS(Tasks!$B$5:$B$1000,$A322,Tasks!$A$5:$A$1000,"&lt;&gt;",Tasks!$D$5:$D$1000,"Done")/COUNTIFS(Tasks!$B$5:$B$1000,$A322,Tasks!$A$5:$A$1000,"&lt;&gt;")))</f>
        <v/>
      </c>
      <c r="K322" s="11" t="str">
        <f>IF(OR($A322="",$F322=""),"",$F322-Overview!$B$3)</f>
        <v/>
      </c>
    </row>
    <row r="323" spans="4:11" x14ac:dyDescent="0.25">
      <c r="D323" s="18" t="str">
        <f>IF($C323="","",IFERROR(INDEX(Clients!$B$5:$B$1000,MATCH($C323,Clients!$A$5:$A$1000,0)),"Unknown client ID"))</f>
        <v/>
      </c>
      <c r="E323" s="16"/>
      <c r="F323" s="16"/>
      <c r="G323" s="17"/>
      <c r="J323" s="12" t="str">
        <f>IF($A323="","",IF(COUNTIFS(Tasks!$B$5:$B$1000,$A323,Tasks!$A$5:$A$1000,"&lt;&gt;")=0,0,COUNTIFS(Tasks!$B$5:$B$1000,$A323,Tasks!$A$5:$A$1000,"&lt;&gt;",Tasks!$D$5:$D$1000,"Done")/COUNTIFS(Tasks!$B$5:$B$1000,$A323,Tasks!$A$5:$A$1000,"&lt;&gt;")))</f>
        <v/>
      </c>
      <c r="K323" s="11" t="str">
        <f>IF(OR($A323="",$F323=""),"",$F323-Overview!$B$3)</f>
        <v/>
      </c>
    </row>
    <row r="324" spans="4:11" x14ac:dyDescent="0.25">
      <c r="D324" s="18" t="str">
        <f>IF($C324="","",IFERROR(INDEX(Clients!$B$5:$B$1000,MATCH($C324,Clients!$A$5:$A$1000,0)),"Unknown client ID"))</f>
        <v/>
      </c>
      <c r="E324" s="16"/>
      <c r="F324" s="16"/>
      <c r="G324" s="17"/>
      <c r="J324" s="12" t="str">
        <f>IF($A324="","",IF(COUNTIFS(Tasks!$B$5:$B$1000,$A324,Tasks!$A$5:$A$1000,"&lt;&gt;")=0,0,COUNTIFS(Tasks!$B$5:$B$1000,$A324,Tasks!$A$5:$A$1000,"&lt;&gt;",Tasks!$D$5:$D$1000,"Done")/COUNTIFS(Tasks!$B$5:$B$1000,$A324,Tasks!$A$5:$A$1000,"&lt;&gt;")))</f>
        <v/>
      </c>
      <c r="K324" s="11" t="str">
        <f>IF(OR($A324="",$F324=""),"",$F324-Overview!$B$3)</f>
        <v/>
      </c>
    </row>
    <row r="325" spans="4:11" x14ac:dyDescent="0.25">
      <c r="D325" s="18" t="str">
        <f>IF($C325="","",IFERROR(INDEX(Clients!$B$5:$B$1000,MATCH($C325,Clients!$A$5:$A$1000,0)),"Unknown client ID"))</f>
        <v/>
      </c>
      <c r="E325" s="16"/>
      <c r="F325" s="16"/>
      <c r="G325" s="17"/>
      <c r="J325" s="12" t="str">
        <f>IF($A325="","",IF(COUNTIFS(Tasks!$B$5:$B$1000,$A325,Tasks!$A$5:$A$1000,"&lt;&gt;")=0,0,COUNTIFS(Tasks!$B$5:$B$1000,$A325,Tasks!$A$5:$A$1000,"&lt;&gt;",Tasks!$D$5:$D$1000,"Done")/COUNTIFS(Tasks!$B$5:$B$1000,$A325,Tasks!$A$5:$A$1000,"&lt;&gt;")))</f>
        <v/>
      </c>
      <c r="K325" s="11" t="str">
        <f>IF(OR($A325="",$F325=""),"",$F325-Overview!$B$3)</f>
        <v/>
      </c>
    </row>
    <row r="326" spans="4:11" x14ac:dyDescent="0.25">
      <c r="D326" s="18" t="str">
        <f>IF($C326="","",IFERROR(INDEX(Clients!$B$5:$B$1000,MATCH($C326,Clients!$A$5:$A$1000,0)),"Unknown client ID"))</f>
        <v/>
      </c>
      <c r="E326" s="16"/>
      <c r="F326" s="16"/>
      <c r="G326" s="17"/>
      <c r="J326" s="12" t="str">
        <f>IF($A326="","",IF(COUNTIFS(Tasks!$B$5:$B$1000,$A326,Tasks!$A$5:$A$1000,"&lt;&gt;")=0,0,COUNTIFS(Tasks!$B$5:$B$1000,$A326,Tasks!$A$5:$A$1000,"&lt;&gt;",Tasks!$D$5:$D$1000,"Done")/COUNTIFS(Tasks!$B$5:$B$1000,$A326,Tasks!$A$5:$A$1000,"&lt;&gt;")))</f>
        <v/>
      </c>
      <c r="K326" s="11" t="str">
        <f>IF(OR($A326="",$F326=""),"",$F326-Overview!$B$3)</f>
        <v/>
      </c>
    </row>
    <row r="327" spans="4:11" x14ac:dyDescent="0.25">
      <c r="D327" s="18" t="str">
        <f>IF($C327="","",IFERROR(INDEX(Clients!$B$5:$B$1000,MATCH($C327,Clients!$A$5:$A$1000,0)),"Unknown client ID"))</f>
        <v/>
      </c>
      <c r="E327" s="16"/>
      <c r="F327" s="16"/>
      <c r="G327" s="17"/>
      <c r="J327" s="12" t="str">
        <f>IF($A327="","",IF(COUNTIFS(Tasks!$B$5:$B$1000,$A327,Tasks!$A$5:$A$1000,"&lt;&gt;")=0,0,COUNTIFS(Tasks!$B$5:$B$1000,$A327,Tasks!$A$5:$A$1000,"&lt;&gt;",Tasks!$D$5:$D$1000,"Done")/COUNTIFS(Tasks!$B$5:$B$1000,$A327,Tasks!$A$5:$A$1000,"&lt;&gt;")))</f>
        <v/>
      </c>
      <c r="K327" s="11" t="str">
        <f>IF(OR($A327="",$F327=""),"",$F327-Overview!$B$3)</f>
        <v/>
      </c>
    </row>
    <row r="328" spans="4:11" x14ac:dyDescent="0.25">
      <c r="D328" s="18" t="str">
        <f>IF($C328="","",IFERROR(INDEX(Clients!$B$5:$B$1000,MATCH($C328,Clients!$A$5:$A$1000,0)),"Unknown client ID"))</f>
        <v/>
      </c>
      <c r="E328" s="16"/>
      <c r="F328" s="16"/>
      <c r="G328" s="17"/>
      <c r="J328" s="12" t="str">
        <f>IF($A328="","",IF(COUNTIFS(Tasks!$B$5:$B$1000,$A328,Tasks!$A$5:$A$1000,"&lt;&gt;")=0,0,COUNTIFS(Tasks!$B$5:$B$1000,$A328,Tasks!$A$5:$A$1000,"&lt;&gt;",Tasks!$D$5:$D$1000,"Done")/COUNTIFS(Tasks!$B$5:$B$1000,$A328,Tasks!$A$5:$A$1000,"&lt;&gt;")))</f>
        <v/>
      </c>
      <c r="K328" s="11" t="str">
        <f>IF(OR($A328="",$F328=""),"",$F328-Overview!$B$3)</f>
        <v/>
      </c>
    </row>
    <row r="329" spans="4:11" x14ac:dyDescent="0.25">
      <c r="D329" s="18" t="str">
        <f>IF($C329="","",IFERROR(INDEX(Clients!$B$5:$B$1000,MATCH($C329,Clients!$A$5:$A$1000,0)),"Unknown client ID"))</f>
        <v/>
      </c>
      <c r="E329" s="16"/>
      <c r="F329" s="16"/>
      <c r="G329" s="17"/>
      <c r="J329" s="12" t="str">
        <f>IF($A329="","",IF(COUNTIFS(Tasks!$B$5:$B$1000,$A329,Tasks!$A$5:$A$1000,"&lt;&gt;")=0,0,COUNTIFS(Tasks!$B$5:$B$1000,$A329,Tasks!$A$5:$A$1000,"&lt;&gt;",Tasks!$D$5:$D$1000,"Done")/COUNTIFS(Tasks!$B$5:$B$1000,$A329,Tasks!$A$5:$A$1000,"&lt;&gt;")))</f>
        <v/>
      </c>
      <c r="K329" s="11" t="str">
        <f>IF(OR($A329="",$F329=""),"",$F329-Overview!$B$3)</f>
        <v/>
      </c>
    </row>
    <row r="330" spans="4:11" x14ac:dyDescent="0.25">
      <c r="D330" s="18" t="str">
        <f>IF($C330="","",IFERROR(INDEX(Clients!$B$5:$B$1000,MATCH($C330,Clients!$A$5:$A$1000,0)),"Unknown client ID"))</f>
        <v/>
      </c>
      <c r="E330" s="16"/>
      <c r="F330" s="16"/>
      <c r="G330" s="17"/>
      <c r="J330" s="12" t="str">
        <f>IF($A330="","",IF(COUNTIFS(Tasks!$B$5:$B$1000,$A330,Tasks!$A$5:$A$1000,"&lt;&gt;")=0,0,COUNTIFS(Tasks!$B$5:$B$1000,$A330,Tasks!$A$5:$A$1000,"&lt;&gt;",Tasks!$D$5:$D$1000,"Done")/COUNTIFS(Tasks!$B$5:$B$1000,$A330,Tasks!$A$5:$A$1000,"&lt;&gt;")))</f>
        <v/>
      </c>
      <c r="K330" s="11" t="str">
        <f>IF(OR($A330="",$F330=""),"",$F330-Overview!$B$3)</f>
        <v/>
      </c>
    </row>
    <row r="331" spans="4:11" x14ac:dyDescent="0.25">
      <c r="D331" s="18" t="str">
        <f>IF($C331="","",IFERROR(INDEX(Clients!$B$5:$B$1000,MATCH($C331,Clients!$A$5:$A$1000,0)),"Unknown client ID"))</f>
        <v/>
      </c>
      <c r="E331" s="16"/>
      <c r="F331" s="16"/>
      <c r="G331" s="17"/>
      <c r="J331" s="12" t="str">
        <f>IF($A331="","",IF(COUNTIFS(Tasks!$B$5:$B$1000,$A331,Tasks!$A$5:$A$1000,"&lt;&gt;")=0,0,COUNTIFS(Tasks!$B$5:$B$1000,$A331,Tasks!$A$5:$A$1000,"&lt;&gt;",Tasks!$D$5:$D$1000,"Done")/COUNTIFS(Tasks!$B$5:$B$1000,$A331,Tasks!$A$5:$A$1000,"&lt;&gt;")))</f>
        <v/>
      </c>
      <c r="K331" s="11" t="str">
        <f>IF(OR($A331="",$F331=""),"",$F331-Overview!$B$3)</f>
        <v/>
      </c>
    </row>
    <row r="332" spans="4:11" x14ac:dyDescent="0.25">
      <c r="D332" s="18" t="str">
        <f>IF($C332="","",IFERROR(INDEX(Clients!$B$5:$B$1000,MATCH($C332,Clients!$A$5:$A$1000,0)),"Unknown client ID"))</f>
        <v/>
      </c>
      <c r="E332" s="16"/>
      <c r="F332" s="16"/>
      <c r="G332" s="17"/>
      <c r="J332" s="12" t="str">
        <f>IF($A332="","",IF(COUNTIFS(Tasks!$B$5:$B$1000,$A332,Tasks!$A$5:$A$1000,"&lt;&gt;")=0,0,COUNTIFS(Tasks!$B$5:$B$1000,$A332,Tasks!$A$5:$A$1000,"&lt;&gt;",Tasks!$D$5:$D$1000,"Done")/COUNTIFS(Tasks!$B$5:$B$1000,$A332,Tasks!$A$5:$A$1000,"&lt;&gt;")))</f>
        <v/>
      </c>
      <c r="K332" s="11" t="str">
        <f>IF(OR($A332="",$F332=""),"",$F332-Overview!$B$3)</f>
        <v/>
      </c>
    </row>
    <row r="333" spans="4:11" x14ac:dyDescent="0.25">
      <c r="D333" s="18" t="str">
        <f>IF($C333="","",IFERROR(INDEX(Clients!$B$5:$B$1000,MATCH($C333,Clients!$A$5:$A$1000,0)),"Unknown client ID"))</f>
        <v/>
      </c>
      <c r="E333" s="16"/>
      <c r="F333" s="16"/>
      <c r="G333" s="17"/>
      <c r="J333" s="12" t="str">
        <f>IF($A333="","",IF(COUNTIFS(Tasks!$B$5:$B$1000,$A333,Tasks!$A$5:$A$1000,"&lt;&gt;")=0,0,COUNTIFS(Tasks!$B$5:$B$1000,$A333,Tasks!$A$5:$A$1000,"&lt;&gt;",Tasks!$D$5:$D$1000,"Done")/COUNTIFS(Tasks!$B$5:$B$1000,$A333,Tasks!$A$5:$A$1000,"&lt;&gt;")))</f>
        <v/>
      </c>
      <c r="K333" s="11" t="str">
        <f>IF(OR($A333="",$F333=""),"",$F333-Overview!$B$3)</f>
        <v/>
      </c>
    </row>
    <row r="334" spans="4:11" x14ac:dyDescent="0.25">
      <c r="D334" s="18" t="str">
        <f>IF($C334="","",IFERROR(INDEX(Clients!$B$5:$B$1000,MATCH($C334,Clients!$A$5:$A$1000,0)),"Unknown client ID"))</f>
        <v/>
      </c>
      <c r="E334" s="16"/>
      <c r="F334" s="16"/>
      <c r="G334" s="17"/>
      <c r="J334" s="12" t="str">
        <f>IF($A334="","",IF(COUNTIFS(Tasks!$B$5:$B$1000,$A334,Tasks!$A$5:$A$1000,"&lt;&gt;")=0,0,COUNTIFS(Tasks!$B$5:$B$1000,$A334,Tasks!$A$5:$A$1000,"&lt;&gt;",Tasks!$D$5:$D$1000,"Done")/COUNTIFS(Tasks!$B$5:$B$1000,$A334,Tasks!$A$5:$A$1000,"&lt;&gt;")))</f>
        <v/>
      </c>
      <c r="K334" s="11" t="str">
        <f>IF(OR($A334="",$F334=""),"",$F334-Overview!$B$3)</f>
        <v/>
      </c>
    </row>
    <row r="335" spans="4:11" x14ac:dyDescent="0.25">
      <c r="D335" s="18" t="str">
        <f>IF($C335="","",IFERROR(INDEX(Clients!$B$5:$B$1000,MATCH($C335,Clients!$A$5:$A$1000,0)),"Unknown client ID"))</f>
        <v/>
      </c>
      <c r="E335" s="16"/>
      <c r="F335" s="16"/>
      <c r="G335" s="17"/>
      <c r="J335" s="12" t="str">
        <f>IF($A335="","",IF(COUNTIFS(Tasks!$B$5:$B$1000,$A335,Tasks!$A$5:$A$1000,"&lt;&gt;")=0,0,COUNTIFS(Tasks!$B$5:$B$1000,$A335,Tasks!$A$5:$A$1000,"&lt;&gt;",Tasks!$D$5:$D$1000,"Done")/COUNTIFS(Tasks!$B$5:$B$1000,$A335,Tasks!$A$5:$A$1000,"&lt;&gt;")))</f>
        <v/>
      </c>
      <c r="K335" s="11" t="str">
        <f>IF(OR($A335="",$F335=""),"",$F335-Overview!$B$3)</f>
        <v/>
      </c>
    </row>
    <row r="336" spans="4:11" x14ac:dyDescent="0.25">
      <c r="D336" s="18" t="str">
        <f>IF($C336="","",IFERROR(INDEX(Clients!$B$5:$B$1000,MATCH($C336,Clients!$A$5:$A$1000,0)),"Unknown client ID"))</f>
        <v/>
      </c>
      <c r="E336" s="16"/>
      <c r="F336" s="16"/>
      <c r="G336" s="17"/>
      <c r="J336" s="12" t="str">
        <f>IF($A336="","",IF(COUNTIFS(Tasks!$B$5:$B$1000,$A336,Tasks!$A$5:$A$1000,"&lt;&gt;")=0,0,COUNTIFS(Tasks!$B$5:$B$1000,$A336,Tasks!$A$5:$A$1000,"&lt;&gt;",Tasks!$D$5:$D$1000,"Done")/COUNTIFS(Tasks!$B$5:$B$1000,$A336,Tasks!$A$5:$A$1000,"&lt;&gt;")))</f>
        <v/>
      </c>
      <c r="K336" s="11" t="str">
        <f>IF(OR($A336="",$F336=""),"",$F336-Overview!$B$3)</f>
        <v/>
      </c>
    </row>
    <row r="337" spans="4:11" x14ac:dyDescent="0.25">
      <c r="D337" s="18" t="str">
        <f>IF($C337="","",IFERROR(INDEX(Clients!$B$5:$B$1000,MATCH($C337,Clients!$A$5:$A$1000,0)),"Unknown client ID"))</f>
        <v/>
      </c>
      <c r="E337" s="16"/>
      <c r="F337" s="16"/>
      <c r="G337" s="17"/>
      <c r="J337" s="12" t="str">
        <f>IF($A337="","",IF(COUNTIFS(Tasks!$B$5:$B$1000,$A337,Tasks!$A$5:$A$1000,"&lt;&gt;")=0,0,COUNTIFS(Tasks!$B$5:$B$1000,$A337,Tasks!$A$5:$A$1000,"&lt;&gt;",Tasks!$D$5:$D$1000,"Done")/COUNTIFS(Tasks!$B$5:$B$1000,$A337,Tasks!$A$5:$A$1000,"&lt;&gt;")))</f>
        <v/>
      </c>
      <c r="K337" s="11" t="str">
        <f>IF(OR($A337="",$F337=""),"",$F337-Overview!$B$3)</f>
        <v/>
      </c>
    </row>
    <row r="338" spans="4:11" x14ac:dyDescent="0.25">
      <c r="D338" s="18" t="str">
        <f>IF($C338="","",IFERROR(INDEX(Clients!$B$5:$B$1000,MATCH($C338,Clients!$A$5:$A$1000,0)),"Unknown client ID"))</f>
        <v/>
      </c>
      <c r="E338" s="16"/>
      <c r="F338" s="16"/>
      <c r="G338" s="17"/>
      <c r="J338" s="12" t="str">
        <f>IF($A338="","",IF(COUNTIFS(Tasks!$B$5:$B$1000,$A338,Tasks!$A$5:$A$1000,"&lt;&gt;")=0,0,COUNTIFS(Tasks!$B$5:$B$1000,$A338,Tasks!$A$5:$A$1000,"&lt;&gt;",Tasks!$D$5:$D$1000,"Done")/COUNTIFS(Tasks!$B$5:$B$1000,$A338,Tasks!$A$5:$A$1000,"&lt;&gt;")))</f>
        <v/>
      </c>
      <c r="K338" s="11" t="str">
        <f>IF(OR($A338="",$F338=""),"",$F338-Overview!$B$3)</f>
        <v/>
      </c>
    </row>
    <row r="339" spans="4:11" x14ac:dyDescent="0.25">
      <c r="D339" s="18" t="str">
        <f>IF($C339="","",IFERROR(INDEX(Clients!$B$5:$B$1000,MATCH($C339,Clients!$A$5:$A$1000,0)),"Unknown client ID"))</f>
        <v/>
      </c>
      <c r="E339" s="16"/>
      <c r="F339" s="16"/>
      <c r="G339" s="17"/>
      <c r="J339" s="12" t="str">
        <f>IF($A339="","",IF(COUNTIFS(Tasks!$B$5:$B$1000,$A339,Tasks!$A$5:$A$1000,"&lt;&gt;")=0,0,COUNTIFS(Tasks!$B$5:$B$1000,$A339,Tasks!$A$5:$A$1000,"&lt;&gt;",Tasks!$D$5:$D$1000,"Done")/COUNTIFS(Tasks!$B$5:$B$1000,$A339,Tasks!$A$5:$A$1000,"&lt;&gt;")))</f>
        <v/>
      </c>
      <c r="K339" s="11" t="str">
        <f>IF(OR($A339="",$F339=""),"",$F339-Overview!$B$3)</f>
        <v/>
      </c>
    </row>
    <row r="340" spans="4:11" x14ac:dyDescent="0.25">
      <c r="D340" s="18" t="str">
        <f>IF($C340="","",IFERROR(INDEX(Clients!$B$5:$B$1000,MATCH($C340,Clients!$A$5:$A$1000,0)),"Unknown client ID"))</f>
        <v/>
      </c>
      <c r="E340" s="16"/>
      <c r="F340" s="16"/>
      <c r="G340" s="17"/>
      <c r="J340" s="12" t="str">
        <f>IF($A340="","",IF(COUNTIFS(Tasks!$B$5:$B$1000,$A340,Tasks!$A$5:$A$1000,"&lt;&gt;")=0,0,COUNTIFS(Tasks!$B$5:$B$1000,$A340,Tasks!$A$5:$A$1000,"&lt;&gt;",Tasks!$D$5:$D$1000,"Done")/COUNTIFS(Tasks!$B$5:$B$1000,$A340,Tasks!$A$5:$A$1000,"&lt;&gt;")))</f>
        <v/>
      </c>
      <c r="K340" s="11" t="str">
        <f>IF(OR($A340="",$F340=""),"",$F340-Overview!$B$3)</f>
        <v/>
      </c>
    </row>
    <row r="341" spans="4:11" x14ac:dyDescent="0.25">
      <c r="D341" s="18" t="str">
        <f>IF($C341="","",IFERROR(INDEX(Clients!$B$5:$B$1000,MATCH($C341,Clients!$A$5:$A$1000,0)),"Unknown client ID"))</f>
        <v/>
      </c>
      <c r="E341" s="16"/>
      <c r="F341" s="16"/>
      <c r="G341" s="17"/>
      <c r="J341" s="12" t="str">
        <f>IF($A341="","",IF(COUNTIFS(Tasks!$B$5:$B$1000,$A341,Tasks!$A$5:$A$1000,"&lt;&gt;")=0,0,COUNTIFS(Tasks!$B$5:$B$1000,$A341,Tasks!$A$5:$A$1000,"&lt;&gt;",Tasks!$D$5:$D$1000,"Done")/COUNTIFS(Tasks!$B$5:$B$1000,$A341,Tasks!$A$5:$A$1000,"&lt;&gt;")))</f>
        <v/>
      </c>
      <c r="K341" s="11" t="str">
        <f>IF(OR($A341="",$F341=""),"",$F341-Overview!$B$3)</f>
        <v/>
      </c>
    </row>
    <row r="342" spans="4:11" x14ac:dyDescent="0.25">
      <c r="D342" s="18" t="str">
        <f>IF($C342="","",IFERROR(INDEX(Clients!$B$5:$B$1000,MATCH($C342,Clients!$A$5:$A$1000,0)),"Unknown client ID"))</f>
        <v/>
      </c>
      <c r="E342" s="16"/>
      <c r="F342" s="16"/>
      <c r="G342" s="17"/>
      <c r="J342" s="12" t="str">
        <f>IF($A342="","",IF(COUNTIFS(Tasks!$B$5:$B$1000,$A342,Tasks!$A$5:$A$1000,"&lt;&gt;")=0,0,COUNTIFS(Tasks!$B$5:$B$1000,$A342,Tasks!$A$5:$A$1000,"&lt;&gt;",Tasks!$D$5:$D$1000,"Done")/COUNTIFS(Tasks!$B$5:$B$1000,$A342,Tasks!$A$5:$A$1000,"&lt;&gt;")))</f>
        <v/>
      </c>
      <c r="K342" s="11" t="str">
        <f>IF(OR($A342="",$F342=""),"",$F342-Overview!$B$3)</f>
        <v/>
      </c>
    </row>
    <row r="343" spans="4:11" x14ac:dyDescent="0.25">
      <c r="D343" s="18" t="str">
        <f>IF($C343="","",IFERROR(INDEX(Clients!$B$5:$B$1000,MATCH($C343,Clients!$A$5:$A$1000,0)),"Unknown client ID"))</f>
        <v/>
      </c>
      <c r="E343" s="16"/>
      <c r="F343" s="16"/>
      <c r="G343" s="17"/>
      <c r="J343" s="12" t="str">
        <f>IF($A343="","",IF(COUNTIFS(Tasks!$B$5:$B$1000,$A343,Tasks!$A$5:$A$1000,"&lt;&gt;")=0,0,COUNTIFS(Tasks!$B$5:$B$1000,$A343,Tasks!$A$5:$A$1000,"&lt;&gt;",Tasks!$D$5:$D$1000,"Done")/COUNTIFS(Tasks!$B$5:$B$1000,$A343,Tasks!$A$5:$A$1000,"&lt;&gt;")))</f>
        <v/>
      </c>
      <c r="K343" s="11" t="str">
        <f>IF(OR($A343="",$F343=""),"",$F343-Overview!$B$3)</f>
        <v/>
      </c>
    </row>
    <row r="344" spans="4:11" x14ac:dyDescent="0.25">
      <c r="D344" s="18" t="str">
        <f>IF($C344="","",IFERROR(INDEX(Clients!$B$5:$B$1000,MATCH($C344,Clients!$A$5:$A$1000,0)),"Unknown client ID"))</f>
        <v/>
      </c>
      <c r="E344" s="16"/>
      <c r="F344" s="16"/>
      <c r="G344" s="17"/>
      <c r="J344" s="12" t="str">
        <f>IF($A344="","",IF(COUNTIFS(Tasks!$B$5:$B$1000,$A344,Tasks!$A$5:$A$1000,"&lt;&gt;")=0,0,COUNTIFS(Tasks!$B$5:$B$1000,$A344,Tasks!$A$5:$A$1000,"&lt;&gt;",Tasks!$D$5:$D$1000,"Done")/COUNTIFS(Tasks!$B$5:$B$1000,$A344,Tasks!$A$5:$A$1000,"&lt;&gt;")))</f>
        <v/>
      </c>
      <c r="K344" s="11" t="str">
        <f>IF(OR($A344="",$F344=""),"",$F344-Overview!$B$3)</f>
        <v/>
      </c>
    </row>
    <row r="345" spans="4:11" x14ac:dyDescent="0.25">
      <c r="D345" s="18" t="str">
        <f>IF($C345="","",IFERROR(INDEX(Clients!$B$5:$B$1000,MATCH($C345,Clients!$A$5:$A$1000,0)),"Unknown client ID"))</f>
        <v/>
      </c>
      <c r="E345" s="16"/>
      <c r="F345" s="16"/>
      <c r="G345" s="17"/>
      <c r="J345" s="12" t="str">
        <f>IF($A345="","",IF(COUNTIFS(Tasks!$B$5:$B$1000,$A345,Tasks!$A$5:$A$1000,"&lt;&gt;")=0,0,COUNTIFS(Tasks!$B$5:$B$1000,$A345,Tasks!$A$5:$A$1000,"&lt;&gt;",Tasks!$D$5:$D$1000,"Done")/COUNTIFS(Tasks!$B$5:$B$1000,$A345,Tasks!$A$5:$A$1000,"&lt;&gt;")))</f>
        <v/>
      </c>
      <c r="K345" s="11" t="str">
        <f>IF(OR($A345="",$F345=""),"",$F345-Overview!$B$3)</f>
        <v/>
      </c>
    </row>
    <row r="346" spans="4:11" x14ac:dyDescent="0.25">
      <c r="D346" s="18" t="str">
        <f>IF($C346="","",IFERROR(INDEX(Clients!$B$5:$B$1000,MATCH($C346,Clients!$A$5:$A$1000,0)),"Unknown client ID"))</f>
        <v/>
      </c>
      <c r="E346" s="16"/>
      <c r="F346" s="16"/>
      <c r="G346" s="17"/>
      <c r="J346" s="12" t="str">
        <f>IF($A346="","",IF(COUNTIFS(Tasks!$B$5:$B$1000,$A346,Tasks!$A$5:$A$1000,"&lt;&gt;")=0,0,COUNTIFS(Tasks!$B$5:$B$1000,$A346,Tasks!$A$5:$A$1000,"&lt;&gt;",Tasks!$D$5:$D$1000,"Done")/COUNTIFS(Tasks!$B$5:$B$1000,$A346,Tasks!$A$5:$A$1000,"&lt;&gt;")))</f>
        <v/>
      </c>
      <c r="K346" s="11" t="str">
        <f>IF(OR($A346="",$F346=""),"",$F346-Overview!$B$3)</f>
        <v/>
      </c>
    </row>
    <row r="347" spans="4:11" x14ac:dyDescent="0.25">
      <c r="D347" s="18" t="str">
        <f>IF($C347="","",IFERROR(INDEX(Clients!$B$5:$B$1000,MATCH($C347,Clients!$A$5:$A$1000,0)),"Unknown client ID"))</f>
        <v/>
      </c>
      <c r="E347" s="16"/>
      <c r="F347" s="16"/>
      <c r="G347" s="17"/>
      <c r="J347" s="12" t="str">
        <f>IF($A347="","",IF(COUNTIFS(Tasks!$B$5:$B$1000,$A347,Tasks!$A$5:$A$1000,"&lt;&gt;")=0,0,COUNTIFS(Tasks!$B$5:$B$1000,$A347,Tasks!$A$5:$A$1000,"&lt;&gt;",Tasks!$D$5:$D$1000,"Done")/COUNTIFS(Tasks!$B$5:$B$1000,$A347,Tasks!$A$5:$A$1000,"&lt;&gt;")))</f>
        <v/>
      </c>
      <c r="K347" s="11" t="str">
        <f>IF(OR($A347="",$F347=""),"",$F347-Overview!$B$3)</f>
        <v/>
      </c>
    </row>
    <row r="348" spans="4:11" x14ac:dyDescent="0.25">
      <c r="D348" s="18" t="str">
        <f>IF($C348="","",IFERROR(INDEX(Clients!$B$5:$B$1000,MATCH($C348,Clients!$A$5:$A$1000,0)),"Unknown client ID"))</f>
        <v/>
      </c>
      <c r="E348" s="16"/>
      <c r="F348" s="16"/>
      <c r="G348" s="17"/>
      <c r="J348" s="12" t="str">
        <f>IF($A348="","",IF(COUNTIFS(Tasks!$B$5:$B$1000,$A348,Tasks!$A$5:$A$1000,"&lt;&gt;")=0,0,COUNTIFS(Tasks!$B$5:$B$1000,$A348,Tasks!$A$5:$A$1000,"&lt;&gt;",Tasks!$D$5:$D$1000,"Done")/COUNTIFS(Tasks!$B$5:$B$1000,$A348,Tasks!$A$5:$A$1000,"&lt;&gt;")))</f>
        <v/>
      </c>
      <c r="K348" s="11" t="str">
        <f>IF(OR($A348="",$F348=""),"",$F348-Overview!$B$3)</f>
        <v/>
      </c>
    </row>
    <row r="349" spans="4:11" x14ac:dyDescent="0.25">
      <c r="D349" s="18" t="str">
        <f>IF($C349="","",IFERROR(INDEX(Clients!$B$5:$B$1000,MATCH($C349,Clients!$A$5:$A$1000,0)),"Unknown client ID"))</f>
        <v/>
      </c>
      <c r="E349" s="16"/>
      <c r="F349" s="16"/>
      <c r="G349" s="17"/>
      <c r="J349" s="12" t="str">
        <f>IF($A349="","",IF(COUNTIFS(Tasks!$B$5:$B$1000,$A349,Tasks!$A$5:$A$1000,"&lt;&gt;")=0,0,COUNTIFS(Tasks!$B$5:$B$1000,$A349,Tasks!$A$5:$A$1000,"&lt;&gt;",Tasks!$D$5:$D$1000,"Done")/COUNTIFS(Tasks!$B$5:$B$1000,$A349,Tasks!$A$5:$A$1000,"&lt;&gt;")))</f>
        <v/>
      </c>
      <c r="K349" s="11" t="str">
        <f>IF(OR($A349="",$F349=""),"",$F349-Overview!$B$3)</f>
        <v/>
      </c>
    </row>
    <row r="350" spans="4:11" x14ac:dyDescent="0.25">
      <c r="D350" s="18" t="str">
        <f>IF($C350="","",IFERROR(INDEX(Clients!$B$5:$B$1000,MATCH($C350,Clients!$A$5:$A$1000,0)),"Unknown client ID"))</f>
        <v/>
      </c>
      <c r="E350" s="16"/>
      <c r="F350" s="16"/>
      <c r="G350" s="17"/>
      <c r="J350" s="12" t="str">
        <f>IF($A350="","",IF(COUNTIFS(Tasks!$B$5:$B$1000,$A350,Tasks!$A$5:$A$1000,"&lt;&gt;")=0,0,COUNTIFS(Tasks!$B$5:$B$1000,$A350,Tasks!$A$5:$A$1000,"&lt;&gt;",Tasks!$D$5:$D$1000,"Done")/COUNTIFS(Tasks!$B$5:$B$1000,$A350,Tasks!$A$5:$A$1000,"&lt;&gt;")))</f>
        <v/>
      </c>
      <c r="K350" s="11" t="str">
        <f>IF(OR($A350="",$F350=""),"",$F350-Overview!$B$3)</f>
        <v/>
      </c>
    </row>
    <row r="351" spans="4:11" x14ac:dyDescent="0.25">
      <c r="D351" s="18" t="str">
        <f>IF($C351="","",IFERROR(INDEX(Clients!$B$5:$B$1000,MATCH($C351,Clients!$A$5:$A$1000,0)),"Unknown client ID"))</f>
        <v/>
      </c>
      <c r="E351" s="16"/>
      <c r="F351" s="16"/>
      <c r="G351" s="17"/>
      <c r="J351" s="12" t="str">
        <f>IF($A351="","",IF(COUNTIFS(Tasks!$B$5:$B$1000,$A351,Tasks!$A$5:$A$1000,"&lt;&gt;")=0,0,COUNTIFS(Tasks!$B$5:$B$1000,$A351,Tasks!$A$5:$A$1000,"&lt;&gt;",Tasks!$D$5:$D$1000,"Done")/COUNTIFS(Tasks!$B$5:$B$1000,$A351,Tasks!$A$5:$A$1000,"&lt;&gt;")))</f>
        <v/>
      </c>
      <c r="K351" s="11" t="str">
        <f>IF(OR($A351="",$F351=""),"",$F351-Overview!$B$3)</f>
        <v/>
      </c>
    </row>
    <row r="352" spans="4:11" x14ac:dyDescent="0.25">
      <c r="D352" s="18" t="str">
        <f>IF($C352="","",IFERROR(INDEX(Clients!$B$5:$B$1000,MATCH($C352,Clients!$A$5:$A$1000,0)),"Unknown client ID"))</f>
        <v/>
      </c>
      <c r="E352" s="16"/>
      <c r="F352" s="16"/>
      <c r="G352" s="17"/>
      <c r="J352" s="12" t="str">
        <f>IF($A352="","",IF(COUNTIFS(Tasks!$B$5:$B$1000,$A352,Tasks!$A$5:$A$1000,"&lt;&gt;")=0,0,COUNTIFS(Tasks!$B$5:$B$1000,$A352,Tasks!$A$5:$A$1000,"&lt;&gt;",Tasks!$D$5:$D$1000,"Done")/COUNTIFS(Tasks!$B$5:$B$1000,$A352,Tasks!$A$5:$A$1000,"&lt;&gt;")))</f>
        <v/>
      </c>
      <c r="K352" s="11" t="str">
        <f>IF(OR($A352="",$F352=""),"",$F352-Overview!$B$3)</f>
        <v/>
      </c>
    </row>
    <row r="353" spans="4:11" x14ac:dyDescent="0.25">
      <c r="D353" s="18" t="str">
        <f>IF($C353="","",IFERROR(INDEX(Clients!$B$5:$B$1000,MATCH($C353,Clients!$A$5:$A$1000,0)),"Unknown client ID"))</f>
        <v/>
      </c>
      <c r="E353" s="16"/>
      <c r="F353" s="16"/>
      <c r="G353" s="17"/>
      <c r="J353" s="12" t="str">
        <f>IF($A353="","",IF(COUNTIFS(Tasks!$B$5:$B$1000,$A353,Tasks!$A$5:$A$1000,"&lt;&gt;")=0,0,COUNTIFS(Tasks!$B$5:$B$1000,$A353,Tasks!$A$5:$A$1000,"&lt;&gt;",Tasks!$D$5:$D$1000,"Done")/COUNTIFS(Tasks!$B$5:$B$1000,$A353,Tasks!$A$5:$A$1000,"&lt;&gt;")))</f>
        <v/>
      </c>
      <c r="K353" s="11" t="str">
        <f>IF(OR($A353="",$F353=""),"",$F353-Overview!$B$3)</f>
        <v/>
      </c>
    </row>
    <row r="354" spans="4:11" x14ac:dyDescent="0.25">
      <c r="D354" s="18" t="str">
        <f>IF($C354="","",IFERROR(INDEX(Clients!$B$5:$B$1000,MATCH($C354,Clients!$A$5:$A$1000,0)),"Unknown client ID"))</f>
        <v/>
      </c>
      <c r="E354" s="16"/>
      <c r="F354" s="16"/>
      <c r="G354" s="17"/>
      <c r="J354" s="12" t="str">
        <f>IF($A354="","",IF(COUNTIFS(Tasks!$B$5:$B$1000,$A354,Tasks!$A$5:$A$1000,"&lt;&gt;")=0,0,COUNTIFS(Tasks!$B$5:$B$1000,$A354,Tasks!$A$5:$A$1000,"&lt;&gt;",Tasks!$D$5:$D$1000,"Done")/COUNTIFS(Tasks!$B$5:$B$1000,$A354,Tasks!$A$5:$A$1000,"&lt;&gt;")))</f>
        <v/>
      </c>
      <c r="K354" s="11" t="str">
        <f>IF(OR($A354="",$F354=""),"",$F354-Overview!$B$3)</f>
        <v/>
      </c>
    </row>
    <row r="355" spans="4:11" x14ac:dyDescent="0.25">
      <c r="D355" s="18" t="str">
        <f>IF($C355="","",IFERROR(INDEX(Clients!$B$5:$B$1000,MATCH($C355,Clients!$A$5:$A$1000,0)),"Unknown client ID"))</f>
        <v/>
      </c>
      <c r="E355" s="16"/>
      <c r="F355" s="16"/>
      <c r="G355" s="17"/>
      <c r="J355" s="12" t="str">
        <f>IF($A355="","",IF(COUNTIFS(Tasks!$B$5:$B$1000,$A355,Tasks!$A$5:$A$1000,"&lt;&gt;")=0,0,COUNTIFS(Tasks!$B$5:$B$1000,$A355,Tasks!$A$5:$A$1000,"&lt;&gt;",Tasks!$D$5:$D$1000,"Done")/COUNTIFS(Tasks!$B$5:$B$1000,$A355,Tasks!$A$5:$A$1000,"&lt;&gt;")))</f>
        <v/>
      </c>
      <c r="K355" s="11" t="str">
        <f>IF(OR($A355="",$F355=""),"",$F355-Overview!$B$3)</f>
        <v/>
      </c>
    </row>
    <row r="356" spans="4:11" x14ac:dyDescent="0.25">
      <c r="D356" s="18" t="str">
        <f>IF($C356="","",IFERROR(INDEX(Clients!$B$5:$B$1000,MATCH($C356,Clients!$A$5:$A$1000,0)),"Unknown client ID"))</f>
        <v/>
      </c>
      <c r="E356" s="16"/>
      <c r="F356" s="16"/>
      <c r="G356" s="17"/>
      <c r="J356" s="12" t="str">
        <f>IF($A356="","",IF(COUNTIFS(Tasks!$B$5:$B$1000,$A356,Tasks!$A$5:$A$1000,"&lt;&gt;")=0,0,COUNTIFS(Tasks!$B$5:$B$1000,$A356,Tasks!$A$5:$A$1000,"&lt;&gt;",Tasks!$D$5:$D$1000,"Done")/COUNTIFS(Tasks!$B$5:$B$1000,$A356,Tasks!$A$5:$A$1000,"&lt;&gt;")))</f>
        <v/>
      </c>
      <c r="K356" s="11" t="str">
        <f>IF(OR($A356="",$F356=""),"",$F356-Overview!$B$3)</f>
        <v/>
      </c>
    </row>
    <row r="357" spans="4:11" x14ac:dyDescent="0.25">
      <c r="D357" s="18" t="str">
        <f>IF($C357="","",IFERROR(INDEX(Clients!$B$5:$B$1000,MATCH($C357,Clients!$A$5:$A$1000,0)),"Unknown client ID"))</f>
        <v/>
      </c>
      <c r="E357" s="16"/>
      <c r="F357" s="16"/>
      <c r="G357" s="17"/>
      <c r="J357" s="12" t="str">
        <f>IF($A357="","",IF(COUNTIFS(Tasks!$B$5:$B$1000,$A357,Tasks!$A$5:$A$1000,"&lt;&gt;")=0,0,COUNTIFS(Tasks!$B$5:$B$1000,$A357,Tasks!$A$5:$A$1000,"&lt;&gt;",Tasks!$D$5:$D$1000,"Done")/COUNTIFS(Tasks!$B$5:$B$1000,$A357,Tasks!$A$5:$A$1000,"&lt;&gt;")))</f>
        <v/>
      </c>
      <c r="K357" s="11" t="str">
        <f>IF(OR($A357="",$F357=""),"",$F357-Overview!$B$3)</f>
        <v/>
      </c>
    </row>
    <row r="358" spans="4:11" x14ac:dyDescent="0.25">
      <c r="D358" s="18" t="str">
        <f>IF($C358="","",IFERROR(INDEX(Clients!$B$5:$B$1000,MATCH($C358,Clients!$A$5:$A$1000,0)),"Unknown client ID"))</f>
        <v/>
      </c>
      <c r="E358" s="16"/>
      <c r="F358" s="16"/>
      <c r="G358" s="17"/>
      <c r="J358" s="12" t="str">
        <f>IF($A358="","",IF(COUNTIFS(Tasks!$B$5:$B$1000,$A358,Tasks!$A$5:$A$1000,"&lt;&gt;")=0,0,COUNTIFS(Tasks!$B$5:$B$1000,$A358,Tasks!$A$5:$A$1000,"&lt;&gt;",Tasks!$D$5:$D$1000,"Done")/COUNTIFS(Tasks!$B$5:$B$1000,$A358,Tasks!$A$5:$A$1000,"&lt;&gt;")))</f>
        <v/>
      </c>
      <c r="K358" s="11" t="str">
        <f>IF(OR($A358="",$F358=""),"",$F358-Overview!$B$3)</f>
        <v/>
      </c>
    </row>
    <row r="359" spans="4:11" x14ac:dyDescent="0.25">
      <c r="D359" s="18" t="str">
        <f>IF($C359="","",IFERROR(INDEX(Clients!$B$5:$B$1000,MATCH($C359,Clients!$A$5:$A$1000,0)),"Unknown client ID"))</f>
        <v/>
      </c>
      <c r="E359" s="16"/>
      <c r="F359" s="16"/>
      <c r="G359" s="17"/>
      <c r="J359" s="12" t="str">
        <f>IF($A359="","",IF(COUNTIFS(Tasks!$B$5:$B$1000,$A359,Tasks!$A$5:$A$1000,"&lt;&gt;")=0,0,COUNTIFS(Tasks!$B$5:$B$1000,$A359,Tasks!$A$5:$A$1000,"&lt;&gt;",Tasks!$D$5:$D$1000,"Done")/COUNTIFS(Tasks!$B$5:$B$1000,$A359,Tasks!$A$5:$A$1000,"&lt;&gt;")))</f>
        <v/>
      </c>
      <c r="K359" s="11" t="str">
        <f>IF(OR($A359="",$F359=""),"",$F359-Overview!$B$3)</f>
        <v/>
      </c>
    </row>
    <row r="360" spans="4:11" x14ac:dyDescent="0.25">
      <c r="D360" s="18" t="str">
        <f>IF($C360="","",IFERROR(INDEX(Clients!$B$5:$B$1000,MATCH($C360,Clients!$A$5:$A$1000,0)),"Unknown client ID"))</f>
        <v/>
      </c>
      <c r="E360" s="16"/>
      <c r="F360" s="16"/>
      <c r="G360" s="17"/>
      <c r="J360" s="12" t="str">
        <f>IF($A360="","",IF(COUNTIFS(Tasks!$B$5:$B$1000,$A360,Tasks!$A$5:$A$1000,"&lt;&gt;")=0,0,COUNTIFS(Tasks!$B$5:$B$1000,$A360,Tasks!$A$5:$A$1000,"&lt;&gt;",Tasks!$D$5:$D$1000,"Done")/COUNTIFS(Tasks!$B$5:$B$1000,$A360,Tasks!$A$5:$A$1000,"&lt;&gt;")))</f>
        <v/>
      </c>
      <c r="K360" s="11" t="str">
        <f>IF(OR($A360="",$F360=""),"",$F360-Overview!$B$3)</f>
        <v/>
      </c>
    </row>
    <row r="361" spans="4:11" x14ac:dyDescent="0.25">
      <c r="D361" s="18" t="str">
        <f>IF($C361="","",IFERROR(INDEX(Clients!$B$5:$B$1000,MATCH($C361,Clients!$A$5:$A$1000,0)),"Unknown client ID"))</f>
        <v/>
      </c>
      <c r="E361" s="16"/>
      <c r="F361" s="16"/>
      <c r="G361" s="17"/>
      <c r="J361" s="12" t="str">
        <f>IF($A361="","",IF(COUNTIFS(Tasks!$B$5:$B$1000,$A361,Tasks!$A$5:$A$1000,"&lt;&gt;")=0,0,COUNTIFS(Tasks!$B$5:$B$1000,$A361,Tasks!$A$5:$A$1000,"&lt;&gt;",Tasks!$D$5:$D$1000,"Done")/COUNTIFS(Tasks!$B$5:$B$1000,$A361,Tasks!$A$5:$A$1000,"&lt;&gt;")))</f>
        <v/>
      </c>
      <c r="K361" s="11" t="str">
        <f>IF(OR($A361="",$F361=""),"",$F361-Overview!$B$3)</f>
        <v/>
      </c>
    </row>
    <row r="362" spans="4:11" x14ac:dyDescent="0.25">
      <c r="D362" s="18" t="str">
        <f>IF($C362="","",IFERROR(INDEX(Clients!$B$5:$B$1000,MATCH($C362,Clients!$A$5:$A$1000,0)),"Unknown client ID"))</f>
        <v/>
      </c>
      <c r="E362" s="16"/>
      <c r="F362" s="16"/>
      <c r="G362" s="17"/>
      <c r="J362" s="12" t="str">
        <f>IF($A362="","",IF(COUNTIFS(Tasks!$B$5:$B$1000,$A362,Tasks!$A$5:$A$1000,"&lt;&gt;")=0,0,COUNTIFS(Tasks!$B$5:$B$1000,$A362,Tasks!$A$5:$A$1000,"&lt;&gt;",Tasks!$D$5:$D$1000,"Done")/COUNTIFS(Tasks!$B$5:$B$1000,$A362,Tasks!$A$5:$A$1000,"&lt;&gt;")))</f>
        <v/>
      </c>
      <c r="K362" s="11" t="str">
        <f>IF(OR($A362="",$F362=""),"",$F362-Overview!$B$3)</f>
        <v/>
      </c>
    </row>
    <row r="363" spans="4:11" x14ac:dyDescent="0.25">
      <c r="D363" s="18" t="str">
        <f>IF($C363="","",IFERROR(INDEX(Clients!$B$5:$B$1000,MATCH($C363,Clients!$A$5:$A$1000,0)),"Unknown client ID"))</f>
        <v/>
      </c>
      <c r="E363" s="16"/>
      <c r="F363" s="16"/>
      <c r="G363" s="17"/>
      <c r="J363" s="12" t="str">
        <f>IF($A363="","",IF(COUNTIFS(Tasks!$B$5:$B$1000,$A363,Tasks!$A$5:$A$1000,"&lt;&gt;")=0,0,COUNTIFS(Tasks!$B$5:$B$1000,$A363,Tasks!$A$5:$A$1000,"&lt;&gt;",Tasks!$D$5:$D$1000,"Done")/COUNTIFS(Tasks!$B$5:$B$1000,$A363,Tasks!$A$5:$A$1000,"&lt;&gt;")))</f>
        <v/>
      </c>
      <c r="K363" s="11" t="str">
        <f>IF(OR($A363="",$F363=""),"",$F363-Overview!$B$3)</f>
        <v/>
      </c>
    </row>
    <row r="364" spans="4:11" x14ac:dyDescent="0.25">
      <c r="D364" s="18" t="str">
        <f>IF($C364="","",IFERROR(INDEX(Clients!$B$5:$B$1000,MATCH($C364,Clients!$A$5:$A$1000,0)),"Unknown client ID"))</f>
        <v/>
      </c>
      <c r="E364" s="16"/>
      <c r="F364" s="16"/>
      <c r="G364" s="17"/>
      <c r="J364" s="12" t="str">
        <f>IF($A364="","",IF(COUNTIFS(Tasks!$B$5:$B$1000,$A364,Tasks!$A$5:$A$1000,"&lt;&gt;")=0,0,COUNTIFS(Tasks!$B$5:$B$1000,$A364,Tasks!$A$5:$A$1000,"&lt;&gt;",Tasks!$D$5:$D$1000,"Done")/COUNTIFS(Tasks!$B$5:$B$1000,$A364,Tasks!$A$5:$A$1000,"&lt;&gt;")))</f>
        <v/>
      </c>
      <c r="K364" s="11" t="str">
        <f>IF(OR($A364="",$F364=""),"",$F364-Overview!$B$3)</f>
        <v/>
      </c>
    </row>
    <row r="365" spans="4:11" x14ac:dyDescent="0.25">
      <c r="D365" s="18" t="str">
        <f>IF($C365="","",IFERROR(INDEX(Clients!$B$5:$B$1000,MATCH($C365,Clients!$A$5:$A$1000,0)),"Unknown client ID"))</f>
        <v/>
      </c>
      <c r="E365" s="16"/>
      <c r="F365" s="16"/>
      <c r="G365" s="17"/>
      <c r="J365" s="12" t="str">
        <f>IF($A365="","",IF(COUNTIFS(Tasks!$B$5:$B$1000,$A365,Tasks!$A$5:$A$1000,"&lt;&gt;")=0,0,COUNTIFS(Tasks!$B$5:$B$1000,$A365,Tasks!$A$5:$A$1000,"&lt;&gt;",Tasks!$D$5:$D$1000,"Done")/COUNTIFS(Tasks!$B$5:$B$1000,$A365,Tasks!$A$5:$A$1000,"&lt;&gt;")))</f>
        <v/>
      </c>
      <c r="K365" s="11" t="str">
        <f>IF(OR($A365="",$F365=""),"",$F365-Overview!$B$3)</f>
        <v/>
      </c>
    </row>
    <row r="366" spans="4:11" x14ac:dyDescent="0.25">
      <c r="D366" s="18" t="str">
        <f>IF($C366="","",IFERROR(INDEX(Clients!$B$5:$B$1000,MATCH($C366,Clients!$A$5:$A$1000,0)),"Unknown client ID"))</f>
        <v/>
      </c>
      <c r="E366" s="16"/>
      <c r="F366" s="16"/>
      <c r="G366" s="17"/>
      <c r="J366" s="12" t="str">
        <f>IF($A366="","",IF(COUNTIFS(Tasks!$B$5:$B$1000,$A366,Tasks!$A$5:$A$1000,"&lt;&gt;")=0,0,COUNTIFS(Tasks!$B$5:$B$1000,$A366,Tasks!$A$5:$A$1000,"&lt;&gt;",Tasks!$D$5:$D$1000,"Done")/COUNTIFS(Tasks!$B$5:$B$1000,$A366,Tasks!$A$5:$A$1000,"&lt;&gt;")))</f>
        <v/>
      </c>
      <c r="K366" s="11" t="str">
        <f>IF(OR($A366="",$F366=""),"",$F366-Overview!$B$3)</f>
        <v/>
      </c>
    </row>
    <row r="367" spans="4:11" x14ac:dyDescent="0.25">
      <c r="D367" s="18" t="str">
        <f>IF($C367="","",IFERROR(INDEX(Clients!$B$5:$B$1000,MATCH($C367,Clients!$A$5:$A$1000,0)),"Unknown client ID"))</f>
        <v/>
      </c>
      <c r="E367" s="16"/>
      <c r="F367" s="16"/>
      <c r="G367" s="17"/>
      <c r="J367" s="12" t="str">
        <f>IF($A367="","",IF(COUNTIFS(Tasks!$B$5:$B$1000,$A367,Tasks!$A$5:$A$1000,"&lt;&gt;")=0,0,COUNTIFS(Tasks!$B$5:$B$1000,$A367,Tasks!$A$5:$A$1000,"&lt;&gt;",Tasks!$D$5:$D$1000,"Done")/COUNTIFS(Tasks!$B$5:$B$1000,$A367,Tasks!$A$5:$A$1000,"&lt;&gt;")))</f>
        <v/>
      </c>
      <c r="K367" s="11" t="str">
        <f>IF(OR($A367="",$F367=""),"",$F367-Overview!$B$3)</f>
        <v/>
      </c>
    </row>
    <row r="368" spans="4:11" x14ac:dyDescent="0.25">
      <c r="D368" s="18" t="str">
        <f>IF($C368="","",IFERROR(INDEX(Clients!$B$5:$B$1000,MATCH($C368,Clients!$A$5:$A$1000,0)),"Unknown client ID"))</f>
        <v/>
      </c>
      <c r="E368" s="16"/>
      <c r="F368" s="16"/>
      <c r="G368" s="17"/>
      <c r="J368" s="12" t="str">
        <f>IF($A368="","",IF(COUNTIFS(Tasks!$B$5:$B$1000,$A368,Tasks!$A$5:$A$1000,"&lt;&gt;")=0,0,COUNTIFS(Tasks!$B$5:$B$1000,$A368,Tasks!$A$5:$A$1000,"&lt;&gt;",Tasks!$D$5:$D$1000,"Done")/COUNTIFS(Tasks!$B$5:$B$1000,$A368,Tasks!$A$5:$A$1000,"&lt;&gt;")))</f>
        <v/>
      </c>
      <c r="K368" s="11" t="str">
        <f>IF(OR($A368="",$F368=""),"",$F368-Overview!$B$3)</f>
        <v/>
      </c>
    </row>
    <row r="369" spans="4:11" x14ac:dyDescent="0.25">
      <c r="D369" s="18" t="str">
        <f>IF($C369="","",IFERROR(INDEX(Clients!$B$5:$B$1000,MATCH($C369,Clients!$A$5:$A$1000,0)),"Unknown client ID"))</f>
        <v/>
      </c>
      <c r="E369" s="16"/>
      <c r="F369" s="16"/>
      <c r="G369" s="17"/>
      <c r="J369" s="12" t="str">
        <f>IF($A369="","",IF(COUNTIFS(Tasks!$B$5:$B$1000,$A369,Tasks!$A$5:$A$1000,"&lt;&gt;")=0,0,COUNTIFS(Tasks!$B$5:$B$1000,$A369,Tasks!$A$5:$A$1000,"&lt;&gt;",Tasks!$D$5:$D$1000,"Done")/COUNTIFS(Tasks!$B$5:$B$1000,$A369,Tasks!$A$5:$A$1000,"&lt;&gt;")))</f>
        <v/>
      </c>
      <c r="K369" s="11" t="str">
        <f>IF(OR($A369="",$F369=""),"",$F369-Overview!$B$3)</f>
        <v/>
      </c>
    </row>
    <row r="370" spans="4:11" x14ac:dyDescent="0.25">
      <c r="D370" s="18" t="str">
        <f>IF($C370="","",IFERROR(INDEX(Clients!$B$5:$B$1000,MATCH($C370,Clients!$A$5:$A$1000,0)),"Unknown client ID"))</f>
        <v/>
      </c>
      <c r="E370" s="16"/>
      <c r="F370" s="16"/>
      <c r="G370" s="17"/>
      <c r="J370" s="12" t="str">
        <f>IF($A370="","",IF(COUNTIFS(Tasks!$B$5:$B$1000,$A370,Tasks!$A$5:$A$1000,"&lt;&gt;")=0,0,COUNTIFS(Tasks!$B$5:$B$1000,$A370,Tasks!$A$5:$A$1000,"&lt;&gt;",Tasks!$D$5:$D$1000,"Done")/COUNTIFS(Tasks!$B$5:$B$1000,$A370,Tasks!$A$5:$A$1000,"&lt;&gt;")))</f>
        <v/>
      </c>
      <c r="K370" s="11" t="str">
        <f>IF(OR($A370="",$F370=""),"",$F370-Overview!$B$3)</f>
        <v/>
      </c>
    </row>
    <row r="371" spans="4:11" x14ac:dyDescent="0.25">
      <c r="D371" s="18" t="str">
        <f>IF($C371="","",IFERROR(INDEX(Clients!$B$5:$B$1000,MATCH($C371,Clients!$A$5:$A$1000,0)),"Unknown client ID"))</f>
        <v/>
      </c>
      <c r="E371" s="16"/>
      <c r="F371" s="16"/>
      <c r="G371" s="17"/>
      <c r="J371" s="12" t="str">
        <f>IF($A371="","",IF(COUNTIFS(Tasks!$B$5:$B$1000,$A371,Tasks!$A$5:$A$1000,"&lt;&gt;")=0,0,COUNTIFS(Tasks!$B$5:$B$1000,$A371,Tasks!$A$5:$A$1000,"&lt;&gt;",Tasks!$D$5:$D$1000,"Done")/COUNTIFS(Tasks!$B$5:$B$1000,$A371,Tasks!$A$5:$A$1000,"&lt;&gt;")))</f>
        <v/>
      </c>
      <c r="K371" s="11" t="str">
        <f>IF(OR($A371="",$F371=""),"",$F371-Overview!$B$3)</f>
        <v/>
      </c>
    </row>
    <row r="372" spans="4:11" x14ac:dyDescent="0.25">
      <c r="D372" s="18" t="str">
        <f>IF($C372="","",IFERROR(INDEX(Clients!$B$5:$B$1000,MATCH($C372,Clients!$A$5:$A$1000,0)),"Unknown client ID"))</f>
        <v/>
      </c>
      <c r="E372" s="16"/>
      <c r="F372" s="16"/>
      <c r="G372" s="17"/>
      <c r="J372" s="12" t="str">
        <f>IF($A372="","",IF(COUNTIFS(Tasks!$B$5:$B$1000,$A372,Tasks!$A$5:$A$1000,"&lt;&gt;")=0,0,COUNTIFS(Tasks!$B$5:$B$1000,$A372,Tasks!$A$5:$A$1000,"&lt;&gt;",Tasks!$D$5:$D$1000,"Done")/COUNTIFS(Tasks!$B$5:$B$1000,$A372,Tasks!$A$5:$A$1000,"&lt;&gt;")))</f>
        <v/>
      </c>
      <c r="K372" s="11" t="str">
        <f>IF(OR($A372="",$F372=""),"",$F372-Overview!$B$3)</f>
        <v/>
      </c>
    </row>
    <row r="373" spans="4:11" x14ac:dyDescent="0.25">
      <c r="D373" s="18" t="str">
        <f>IF($C373="","",IFERROR(INDEX(Clients!$B$5:$B$1000,MATCH($C373,Clients!$A$5:$A$1000,0)),"Unknown client ID"))</f>
        <v/>
      </c>
      <c r="E373" s="16"/>
      <c r="F373" s="16"/>
      <c r="G373" s="17"/>
      <c r="J373" s="12" t="str">
        <f>IF($A373="","",IF(COUNTIFS(Tasks!$B$5:$B$1000,$A373,Tasks!$A$5:$A$1000,"&lt;&gt;")=0,0,COUNTIFS(Tasks!$B$5:$B$1000,$A373,Tasks!$A$5:$A$1000,"&lt;&gt;",Tasks!$D$5:$D$1000,"Done")/COUNTIFS(Tasks!$B$5:$B$1000,$A373,Tasks!$A$5:$A$1000,"&lt;&gt;")))</f>
        <v/>
      </c>
      <c r="K373" s="11" t="str">
        <f>IF(OR($A373="",$F373=""),"",$F373-Overview!$B$3)</f>
        <v/>
      </c>
    </row>
    <row r="374" spans="4:11" x14ac:dyDescent="0.25">
      <c r="D374" s="18" t="str">
        <f>IF($C374="","",IFERROR(INDEX(Clients!$B$5:$B$1000,MATCH($C374,Clients!$A$5:$A$1000,0)),"Unknown client ID"))</f>
        <v/>
      </c>
      <c r="E374" s="16"/>
      <c r="F374" s="16"/>
      <c r="G374" s="17"/>
      <c r="J374" s="12" t="str">
        <f>IF($A374="","",IF(COUNTIFS(Tasks!$B$5:$B$1000,$A374,Tasks!$A$5:$A$1000,"&lt;&gt;")=0,0,COUNTIFS(Tasks!$B$5:$B$1000,$A374,Tasks!$A$5:$A$1000,"&lt;&gt;",Tasks!$D$5:$D$1000,"Done")/COUNTIFS(Tasks!$B$5:$B$1000,$A374,Tasks!$A$5:$A$1000,"&lt;&gt;")))</f>
        <v/>
      </c>
      <c r="K374" s="11" t="str">
        <f>IF(OR($A374="",$F374=""),"",$F374-Overview!$B$3)</f>
        <v/>
      </c>
    </row>
    <row r="375" spans="4:11" x14ac:dyDescent="0.25">
      <c r="D375" s="18" t="str">
        <f>IF($C375="","",IFERROR(INDEX(Clients!$B$5:$B$1000,MATCH($C375,Clients!$A$5:$A$1000,0)),"Unknown client ID"))</f>
        <v/>
      </c>
      <c r="E375" s="16"/>
      <c r="F375" s="16"/>
      <c r="G375" s="17"/>
      <c r="J375" s="12" t="str">
        <f>IF($A375="","",IF(COUNTIFS(Tasks!$B$5:$B$1000,$A375,Tasks!$A$5:$A$1000,"&lt;&gt;")=0,0,COUNTIFS(Tasks!$B$5:$B$1000,$A375,Tasks!$A$5:$A$1000,"&lt;&gt;",Tasks!$D$5:$D$1000,"Done")/COUNTIFS(Tasks!$B$5:$B$1000,$A375,Tasks!$A$5:$A$1000,"&lt;&gt;")))</f>
        <v/>
      </c>
      <c r="K375" s="11" t="str">
        <f>IF(OR($A375="",$F375=""),"",$F375-Overview!$B$3)</f>
        <v/>
      </c>
    </row>
    <row r="376" spans="4:11" x14ac:dyDescent="0.25">
      <c r="D376" s="18" t="str">
        <f>IF($C376="","",IFERROR(INDEX(Clients!$B$5:$B$1000,MATCH($C376,Clients!$A$5:$A$1000,0)),"Unknown client ID"))</f>
        <v/>
      </c>
      <c r="E376" s="16"/>
      <c r="F376" s="16"/>
      <c r="G376" s="17"/>
      <c r="J376" s="12" t="str">
        <f>IF($A376="","",IF(COUNTIFS(Tasks!$B$5:$B$1000,$A376,Tasks!$A$5:$A$1000,"&lt;&gt;")=0,0,COUNTIFS(Tasks!$B$5:$B$1000,$A376,Tasks!$A$5:$A$1000,"&lt;&gt;",Tasks!$D$5:$D$1000,"Done")/COUNTIFS(Tasks!$B$5:$B$1000,$A376,Tasks!$A$5:$A$1000,"&lt;&gt;")))</f>
        <v/>
      </c>
      <c r="K376" s="11" t="str">
        <f>IF(OR($A376="",$F376=""),"",$F376-Overview!$B$3)</f>
        <v/>
      </c>
    </row>
    <row r="377" spans="4:11" x14ac:dyDescent="0.25">
      <c r="D377" s="18" t="str">
        <f>IF($C377="","",IFERROR(INDEX(Clients!$B$5:$B$1000,MATCH($C377,Clients!$A$5:$A$1000,0)),"Unknown client ID"))</f>
        <v/>
      </c>
      <c r="E377" s="16"/>
      <c r="F377" s="16"/>
      <c r="G377" s="17"/>
      <c r="J377" s="12" t="str">
        <f>IF($A377="","",IF(COUNTIFS(Tasks!$B$5:$B$1000,$A377,Tasks!$A$5:$A$1000,"&lt;&gt;")=0,0,COUNTIFS(Tasks!$B$5:$B$1000,$A377,Tasks!$A$5:$A$1000,"&lt;&gt;",Tasks!$D$5:$D$1000,"Done")/COUNTIFS(Tasks!$B$5:$B$1000,$A377,Tasks!$A$5:$A$1000,"&lt;&gt;")))</f>
        <v/>
      </c>
      <c r="K377" s="11" t="str">
        <f>IF(OR($A377="",$F377=""),"",$F377-Overview!$B$3)</f>
        <v/>
      </c>
    </row>
    <row r="378" spans="4:11" x14ac:dyDescent="0.25">
      <c r="D378" s="18" t="str">
        <f>IF($C378="","",IFERROR(INDEX(Clients!$B$5:$B$1000,MATCH($C378,Clients!$A$5:$A$1000,0)),"Unknown client ID"))</f>
        <v/>
      </c>
      <c r="E378" s="16"/>
      <c r="F378" s="16"/>
      <c r="G378" s="17"/>
      <c r="J378" s="12" t="str">
        <f>IF($A378="","",IF(COUNTIFS(Tasks!$B$5:$B$1000,$A378,Tasks!$A$5:$A$1000,"&lt;&gt;")=0,0,COUNTIFS(Tasks!$B$5:$B$1000,$A378,Tasks!$A$5:$A$1000,"&lt;&gt;",Tasks!$D$5:$D$1000,"Done")/COUNTIFS(Tasks!$B$5:$B$1000,$A378,Tasks!$A$5:$A$1000,"&lt;&gt;")))</f>
        <v/>
      </c>
      <c r="K378" s="11" t="str">
        <f>IF(OR($A378="",$F378=""),"",$F378-Overview!$B$3)</f>
        <v/>
      </c>
    </row>
    <row r="379" spans="4:11" x14ac:dyDescent="0.25">
      <c r="D379" s="18" t="str">
        <f>IF($C379="","",IFERROR(INDEX(Clients!$B$5:$B$1000,MATCH($C379,Clients!$A$5:$A$1000,0)),"Unknown client ID"))</f>
        <v/>
      </c>
      <c r="E379" s="16"/>
      <c r="F379" s="16"/>
      <c r="G379" s="17"/>
      <c r="J379" s="12" t="str">
        <f>IF($A379="","",IF(COUNTIFS(Tasks!$B$5:$B$1000,$A379,Tasks!$A$5:$A$1000,"&lt;&gt;")=0,0,COUNTIFS(Tasks!$B$5:$B$1000,$A379,Tasks!$A$5:$A$1000,"&lt;&gt;",Tasks!$D$5:$D$1000,"Done")/COUNTIFS(Tasks!$B$5:$B$1000,$A379,Tasks!$A$5:$A$1000,"&lt;&gt;")))</f>
        <v/>
      </c>
      <c r="K379" s="11" t="str">
        <f>IF(OR($A379="",$F379=""),"",$F379-Overview!$B$3)</f>
        <v/>
      </c>
    </row>
    <row r="380" spans="4:11" x14ac:dyDescent="0.25">
      <c r="D380" s="18" t="str">
        <f>IF($C380="","",IFERROR(INDEX(Clients!$B$5:$B$1000,MATCH($C380,Clients!$A$5:$A$1000,0)),"Unknown client ID"))</f>
        <v/>
      </c>
      <c r="E380" s="16"/>
      <c r="F380" s="16"/>
      <c r="G380" s="17"/>
      <c r="J380" s="12" t="str">
        <f>IF($A380="","",IF(COUNTIFS(Tasks!$B$5:$B$1000,$A380,Tasks!$A$5:$A$1000,"&lt;&gt;")=0,0,COUNTIFS(Tasks!$B$5:$B$1000,$A380,Tasks!$A$5:$A$1000,"&lt;&gt;",Tasks!$D$5:$D$1000,"Done")/COUNTIFS(Tasks!$B$5:$B$1000,$A380,Tasks!$A$5:$A$1000,"&lt;&gt;")))</f>
        <v/>
      </c>
      <c r="K380" s="11" t="str">
        <f>IF(OR($A380="",$F380=""),"",$F380-Overview!$B$3)</f>
        <v/>
      </c>
    </row>
    <row r="381" spans="4:11" x14ac:dyDescent="0.25">
      <c r="D381" s="18" t="str">
        <f>IF($C381="","",IFERROR(INDEX(Clients!$B$5:$B$1000,MATCH($C381,Clients!$A$5:$A$1000,0)),"Unknown client ID"))</f>
        <v/>
      </c>
      <c r="E381" s="16"/>
      <c r="F381" s="16"/>
      <c r="G381" s="17"/>
      <c r="J381" s="12" t="str">
        <f>IF($A381="","",IF(COUNTIFS(Tasks!$B$5:$B$1000,$A381,Tasks!$A$5:$A$1000,"&lt;&gt;")=0,0,COUNTIFS(Tasks!$B$5:$B$1000,$A381,Tasks!$A$5:$A$1000,"&lt;&gt;",Tasks!$D$5:$D$1000,"Done")/COUNTIFS(Tasks!$B$5:$B$1000,$A381,Tasks!$A$5:$A$1000,"&lt;&gt;")))</f>
        <v/>
      </c>
      <c r="K381" s="11" t="str">
        <f>IF(OR($A381="",$F381=""),"",$F381-Overview!$B$3)</f>
        <v/>
      </c>
    </row>
    <row r="382" spans="4:11" x14ac:dyDescent="0.25">
      <c r="D382" s="18" t="str">
        <f>IF($C382="","",IFERROR(INDEX(Clients!$B$5:$B$1000,MATCH($C382,Clients!$A$5:$A$1000,0)),"Unknown client ID"))</f>
        <v/>
      </c>
      <c r="E382" s="16"/>
      <c r="F382" s="16"/>
      <c r="G382" s="17"/>
      <c r="J382" s="12" t="str">
        <f>IF($A382="","",IF(COUNTIFS(Tasks!$B$5:$B$1000,$A382,Tasks!$A$5:$A$1000,"&lt;&gt;")=0,0,COUNTIFS(Tasks!$B$5:$B$1000,$A382,Tasks!$A$5:$A$1000,"&lt;&gt;",Tasks!$D$5:$D$1000,"Done")/COUNTIFS(Tasks!$B$5:$B$1000,$A382,Tasks!$A$5:$A$1000,"&lt;&gt;")))</f>
        <v/>
      </c>
      <c r="K382" s="11" t="str">
        <f>IF(OR($A382="",$F382=""),"",$F382-Overview!$B$3)</f>
        <v/>
      </c>
    </row>
    <row r="383" spans="4:11" x14ac:dyDescent="0.25">
      <c r="D383" s="18" t="str">
        <f>IF($C383="","",IFERROR(INDEX(Clients!$B$5:$B$1000,MATCH($C383,Clients!$A$5:$A$1000,0)),"Unknown client ID"))</f>
        <v/>
      </c>
      <c r="E383" s="16"/>
      <c r="F383" s="16"/>
      <c r="G383" s="17"/>
      <c r="J383" s="12" t="str">
        <f>IF($A383="","",IF(COUNTIFS(Tasks!$B$5:$B$1000,$A383,Tasks!$A$5:$A$1000,"&lt;&gt;")=0,0,COUNTIFS(Tasks!$B$5:$B$1000,$A383,Tasks!$A$5:$A$1000,"&lt;&gt;",Tasks!$D$5:$D$1000,"Done")/COUNTIFS(Tasks!$B$5:$B$1000,$A383,Tasks!$A$5:$A$1000,"&lt;&gt;")))</f>
        <v/>
      </c>
      <c r="K383" s="11" t="str">
        <f>IF(OR($A383="",$F383=""),"",$F383-Overview!$B$3)</f>
        <v/>
      </c>
    </row>
    <row r="384" spans="4:11" x14ac:dyDescent="0.25">
      <c r="D384" s="18" t="str">
        <f>IF($C384="","",IFERROR(INDEX(Clients!$B$5:$B$1000,MATCH($C384,Clients!$A$5:$A$1000,0)),"Unknown client ID"))</f>
        <v/>
      </c>
      <c r="E384" s="16"/>
      <c r="F384" s="16"/>
      <c r="G384" s="17"/>
      <c r="J384" s="12" t="str">
        <f>IF($A384="","",IF(COUNTIFS(Tasks!$B$5:$B$1000,$A384,Tasks!$A$5:$A$1000,"&lt;&gt;")=0,0,COUNTIFS(Tasks!$B$5:$B$1000,$A384,Tasks!$A$5:$A$1000,"&lt;&gt;",Tasks!$D$5:$D$1000,"Done")/COUNTIFS(Tasks!$B$5:$B$1000,$A384,Tasks!$A$5:$A$1000,"&lt;&gt;")))</f>
        <v/>
      </c>
      <c r="K384" s="11" t="str">
        <f>IF(OR($A384="",$F384=""),"",$F384-Overview!$B$3)</f>
        <v/>
      </c>
    </row>
    <row r="385" spans="4:11" x14ac:dyDescent="0.25">
      <c r="D385" s="18" t="str">
        <f>IF($C385="","",IFERROR(INDEX(Clients!$B$5:$B$1000,MATCH($C385,Clients!$A$5:$A$1000,0)),"Unknown client ID"))</f>
        <v/>
      </c>
      <c r="E385" s="16"/>
      <c r="F385" s="16"/>
      <c r="G385" s="17"/>
      <c r="J385" s="12" t="str">
        <f>IF($A385="","",IF(COUNTIFS(Tasks!$B$5:$B$1000,$A385,Tasks!$A$5:$A$1000,"&lt;&gt;")=0,0,COUNTIFS(Tasks!$B$5:$B$1000,$A385,Tasks!$A$5:$A$1000,"&lt;&gt;",Tasks!$D$5:$D$1000,"Done")/COUNTIFS(Tasks!$B$5:$B$1000,$A385,Tasks!$A$5:$A$1000,"&lt;&gt;")))</f>
        <v/>
      </c>
      <c r="K385" s="11" t="str">
        <f>IF(OR($A385="",$F385=""),"",$F385-Overview!$B$3)</f>
        <v/>
      </c>
    </row>
    <row r="386" spans="4:11" x14ac:dyDescent="0.25">
      <c r="D386" s="18" t="str">
        <f>IF($C386="","",IFERROR(INDEX(Clients!$B$5:$B$1000,MATCH($C386,Clients!$A$5:$A$1000,0)),"Unknown client ID"))</f>
        <v/>
      </c>
      <c r="E386" s="16"/>
      <c r="F386" s="16"/>
      <c r="G386" s="17"/>
      <c r="J386" s="12" t="str">
        <f>IF($A386="","",IF(COUNTIFS(Tasks!$B$5:$B$1000,$A386,Tasks!$A$5:$A$1000,"&lt;&gt;")=0,0,COUNTIFS(Tasks!$B$5:$B$1000,$A386,Tasks!$A$5:$A$1000,"&lt;&gt;",Tasks!$D$5:$D$1000,"Done")/COUNTIFS(Tasks!$B$5:$B$1000,$A386,Tasks!$A$5:$A$1000,"&lt;&gt;")))</f>
        <v/>
      </c>
      <c r="K386" s="11" t="str">
        <f>IF(OR($A386="",$F386=""),"",$F386-Overview!$B$3)</f>
        <v/>
      </c>
    </row>
    <row r="387" spans="4:11" x14ac:dyDescent="0.25">
      <c r="D387" s="18" t="str">
        <f>IF($C387="","",IFERROR(INDEX(Clients!$B$5:$B$1000,MATCH($C387,Clients!$A$5:$A$1000,0)),"Unknown client ID"))</f>
        <v/>
      </c>
      <c r="E387" s="16"/>
      <c r="F387" s="16"/>
      <c r="G387" s="17"/>
      <c r="J387" s="12" t="str">
        <f>IF($A387="","",IF(COUNTIFS(Tasks!$B$5:$B$1000,$A387,Tasks!$A$5:$A$1000,"&lt;&gt;")=0,0,COUNTIFS(Tasks!$B$5:$B$1000,$A387,Tasks!$A$5:$A$1000,"&lt;&gt;",Tasks!$D$5:$D$1000,"Done")/COUNTIFS(Tasks!$B$5:$B$1000,$A387,Tasks!$A$5:$A$1000,"&lt;&gt;")))</f>
        <v/>
      </c>
      <c r="K387" s="11" t="str">
        <f>IF(OR($A387="",$F387=""),"",$F387-Overview!$B$3)</f>
        <v/>
      </c>
    </row>
    <row r="388" spans="4:11" x14ac:dyDescent="0.25">
      <c r="D388" s="18" t="str">
        <f>IF($C388="","",IFERROR(INDEX(Clients!$B$5:$B$1000,MATCH($C388,Clients!$A$5:$A$1000,0)),"Unknown client ID"))</f>
        <v/>
      </c>
      <c r="E388" s="16"/>
      <c r="F388" s="16"/>
      <c r="G388" s="17"/>
      <c r="J388" s="12" t="str">
        <f>IF($A388="","",IF(COUNTIFS(Tasks!$B$5:$B$1000,$A388,Tasks!$A$5:$A$1000,"&lt;&gt;")=0,0,COUNTIFS(Tasks!$B$5:$B$1000,$A388,Tasks!$A$5:$A$1000,"&lt;&gt;",Tasks!$D$5:$D$1000,"Done")/COUNTIFS(Tasks!$B$5:$B$1000,$A388,Tasks!$A$5:$A$1000,"&lt;&gt;")))</f>
        <v/>
      </c>
      <c r="K388" s="11" t="str">
        <f>IF(OR($A388="",$F388=""),"",$F388-Overview!$B$3)</f>
        <v/>
      </c>
    </row>
    <row r="389" spans="4:11" x14ac:dyDescent="0.25">
      <c r="D389" s="18" t="str">
        <f>IF($C389="","",IFERROR(INDEX(Clients!$B$5:$B$1000,MATCH($C389,Clients!$A$5:$A$1000,0)),"Unknown client ID"))</f>
        <v/>
      </c>
      <c r="E389" s="16"/>
      <c r="F389" s="16"/>
      <c r="G389" s="17"/>
      <c r="J389" s="12" t="str">
        <f>IF($A389="","",IF(COUNTIFS(Tasks!$B$5:$B$1000,$A389,Tasks!$A$5:$A$1000,"&lt;&gt;")=0,0,COUNTIFS(Tasks!$B$5:$B$1000,$A389,Tasks!$A$5:$A$1000,"&lt;&gt;",Tasks!$D$5:$D$1000,"Done")/COUNTIFS(Tasks!$B$5:$B$1000,$A389,Tasks!$A$5:$A$1000,"&lt;&gt;")))</f>
        <v/>
      </c>
      <c r="K389" s="11" t="str">
        <f>IF(OR($A389="",$F389=""),"",$F389-Overview!$B$3)</f>
        <v/>
      </c>
    </row>
    <row r="390" spans="4:11" x14ac:dyDescent="0.25">
      <c r="D390" s="18" t="str">
        <f>IF($C390="","",IFERROR(INDEX(Clients!$B$5:$B$1000,MATCH($C390,Clients!$A$5:$A$1000,0)),"Unknown client ID"))</f>
        <v/>
      </c>
      <c r="E390" s="16"/>
      <c r="F390" s="16"/>
      <c r="G390" s="17"/>
      <c r="J390" s="12" t="str">
        <f>IF($A390="","",IF(COUNTIFS(Tasks!$B$5:$B$1000,$A390,Tasks!$A$5:$A$1000,"&lt;&gt;")=0,0,COUNTIFS(Tasks!$B$5:$B$1000,$A390,Tasks!$A$5:$A$1000,"&lt;&gt;",Tasks!$D$5:$D$1000,"Done")/COUNTIFS(Tasks!$B$5:$B$1000,$A390,Tasks!$A$5:$A$1000,"&lt;&gt;")))</f>
        <v/>
      </c>
      <c r="K390" s="11" t="str">
        <f>IF(OR($A390="",$F390=""),"",$F390-Overview!$B$3)</f>
        <v/>
      </c>
    </row>
    <row r="391" spans="4:11" x14ac:dyDescent="0.25">
      <c r="D391" s="18" t="str">
        <f>IF($C391="","",IFERROR(INDEX(Clients!$B$5:$B$1000,MATCH($C391,Clients!$A$5:$A$1000,0)),"Unknown client ID"))</f>
        <v/>
      </c>
      <c r="E391" s="16"/>
      <c r="F391" s="16"/>
      <c r="G391" s="17"/>
      <c r="J391" s="12" t="str">
        <f>IF($A391="","",IF(COUNTIFS(Tasks!$B$5:$B$1000,$A391,Tasks!$A$5:$A$1000,"&lt;&gt;")=0,0,COUNTIFS(Tasks!$B$5:$B$1000,$A391,Tasks!$A$5:$A$1000,"&lt;&gt;",Tasks!$D$5:$D$1000,"Done")/COUNTIFS(Tasks!$B$5:$B$1000,$A391,Tasks!$A$5:$A$1000,"&lt;&gt;")))</f>
        <v/>
      </c>
      <c r="K391" s="11" t="str">
        <f>IF(OR($A391="",$F391=""),"",$F391-Overview!$B$3)</f>
        <v/>
      </c>
    </row>
    <row r="392" spans="4:11" x14ac:dyDescent="0.25">
      <c r="D392" s="18" t="str">
        <f>IF($C392="","",IFERROR(INDEX(Clients!$B$5:$B$1000,MATCH($C392,Clients!$A$5:$A$1000,0)),"Unknown client ID"))</f>
        <v/>
      </c>
      <c r="E392" s="16"/>
      <c r="F392" s="16"/>
      <c r="G392" s="17"/>
      <c r="J392" s="12" t="str">
        <f>IF($A392="","",IF(COUNTIFS(Tasks!$B$5:$B$1000,$A392,Tasks!$A$5:$A$1000,"&lt;&gt;")=0,0,COUNTIFS(Tasks!$B$5:$B$1000,$A392,Tasks!$A$5:$A$1000,"&lt;&gt;",Tasks!$D$5:$D$1000,"Done")/COUNTIFS(Tasks!$B$5:$B$1000,$A392,Tasks!$A$5:$A$1000,"&lt;&gt;")))</f>
        <v/>
      </c>
      <c r="K392" s="11" t="str">
        <f>IF(OR($A392="",$F392=""),"",$F392-Overview!$B$3)</f>
        <v/>
      </c>
    </row>
    <row r="393" spans="4:11" x14ac:dyDescent="0.25">
      <c r="D393" s="18" t="str">
        <f>IF($C393="","",IFERROR(INDEX(Clients!$B$5:$B$1000,MATCH($C393,Clients!$A$5:$A$1000,0)),"Unknown client ID"))</f>
        <v/>
      </c>
      <c r="E393" s="16"/>
      <c r="F393" s="16"/>
      <c r="G393" s="17"/>
      <c r="J393" s="12" t="str">
        <f>IF($A393="","",IF(COUNTIFS(Tasks!$B$5:$B$1000,$A393,Tasks!$A$5:$A$1000,"&lt;&gt;")=0,0,COUNTIFS(Tasks!$B$5:$B$1000,$A393,Tasks!$A$5:$A$1000,"&lt;&gt;",Tasks!$D$5:$D$1000,"Done")/COUNTIFS(Tasks!$B$5:$B$1000,$A393,Tasks!$A$5:$A$1000,"&lt;&gt;")))</f>
        <v/>
      </c>
      <c r="K393" s="11" t="str">
        <f>IF(OR($A393="",$F393=""),"",$F393-Overview!$B$3)</f>
        <v/>
      </c>
    </row>
    <row r="394" spans="4:11" x14ac:dyDescent="0.25">
      <c r="D394" s="18" t="str">
        <f>IF($C394="","",IFERROR(INDEX(Clients!$B$5:$B$1000,MATCH($C394,Clients!$A$5:$A$1000,0)),"Unknown client ID"))</f>
        <v/>
      </c>
      <c r="E394" s="16"/>
      <c r="F394" s="16"/>
      <c r="G394" s="17"/>
      <c r="J394" s="12" t="str">
        <f>IF($A394="","",IF(COUNTIFS(Tasks!$B$5:$B$1000,$A394,Tasks!$A$5:$A$1000,"&lt;&gt;")=0,0,COUNTIFS(Tasks!$B$5:$B$1000,$A394,Tasks!$A$5:$A$1000,"&lt;&gt;",Tasks!$D$5:$D$1000,"Done")/COUNTIFS(Tasks!$B$5:$B$1000,$A394,Tasks!$A$5:$A$1000,"&lt;&gt;")))</f>
        <v/>
      </c>
      <c r="K394" s="11" t="str">
        <f>IF(OR($A394="",$F394=""),"",$F394-Overview!$B$3)</f>
        <v/>
      </c>
    </row>
    <row r="395" spans="4:11" x14ac:dyDescent="0.25">
      <c r="D395" s="18" t="str">
        <f>IF($C395="","",IFERROR(INDEX(Clients!$B$5:$B$1000,MATCH($C395,Clients!$A$5:$A$1000,0)),"Unknown client ID"))</f>
        <v/>
      </c>
      <c r="E395" s="16"/>
      <c r="F395" s="16"/>
      <c r="G395" s="17"/>
      <c r="J395" s="12" t="str">
        <f>IF($A395="","",IF(COUNTIFS(Tasks!$B$5:$B$1000,$A395,Tasks!$A$5:$A$1000,"&lt;&gt;")=0,0,COUNTIFS(Tasks!$B$5:$B$1000,$A395,Tasks!$A$5:$A$1000,"&lt;&gt;",Tasks!$D$5:$D$1000,"Done")/COUNTIFS(Tasks!$B$5:$B$1000,$A395,Tasks!$A$5:$A$1000,"&lt;&gt;")))</f>
        <v/>
      </c>
      <c r="K395" s="11" t="str">
        <f>IF(OR($A395="",$F395=""),"",$F395-Overview!$B$3)</f>
        <v/>
      </c>
    </row>
    <row r="396" spans="4:11" x14ac:dyDescent="0.25">
      <c r="D396" s="18" t="str">
        <f>IF($C396="","",IFERROR(INDEX(Clients!$B$5:$B$1000,MATCH($C396,Clients!$A$5:$A$1000,0)),"Unknown client ID"))</f>
        <v/>
      </c>
      <c r="E396" s="16"/>
      <c r="F396" s="16"/>
      <c r="G396" s="17"/>
      <c r="J396" s="12" t="str">
        <f>IF($A396="","",IF(COUNTIFS(Tasks!$B$5:$B$1000,$A396,Tasks!$A$5:$A$1000,"&lt;&gt;")=0,0,COUNTIFS(Tasks!$B$5:$B$1000,$A396,Tasks!$A$5:$A$1000,"&lt;&gt;",Tasks!$D$5:$D$1000,"Done")/COUNTIFS(Tasks!$B$5:$B$1000,$A396,Tasks!$A$5:$A$1000,"&lt;&gt;")))</f>
        <v/>
      </c>
      <c r="K396" s="11" t="str">
        <f>IF(OR($A396="",$F396=""),"",$F396-Overview!$B$3)</f>
        <v/>
      </c>
    </row>
    <row r="397" spans="4:11" x14ac:dyDescent="0.25">
      <c r="D397" s="18" t="str">
        <f>IF($C397="","",IFERROR(INDEX(Clients!$B$5:$B$1000,MATCH($C397,Clients!$A$5:$A$1000,0)),"Unknown client ID"))</f>
        <v/>
      </c>
      <c r="E397" s="16"/>
      <c r="F397" s="16"/>
      <c r="G397" s="17"/>
      <c r="J397" s="12" t="str">
        <f>IF($A397="","",IF(COUNTIFS(Tasks!$B$5:$B$1000,$A397,Tasks!$A$5:$A$1000,"&lt;&gt;")=0,0,COUNTIFS(Tasks!$B$5:$B$1000,$A397,Tasks!$A$5:$A$1000,"&lt;&gt;",Tasks!$D$5:$D$1000,"Done")/COUNTIFS(Tasks!$B$5:$B$1000,$A397,Tasks!$A$5:$A$1000,"&lt;&gt;")))</f>
        <v/>
      </c>
      <c r="K397" s="11" t="str">
        <f>IF(OR($A397="",$F397=""),"",$F397-Overview!$B$3)</f>
        <v/>
      </c>
    </row>
    <row r="398" spans="4:11" x14ac:dyDescent="0.25">
      <c r="D398" s="18" t="str">
        <f>IF($C398="","",IFERROR(INDEX(Clients!$B$5:$B$1000,MATCH($C398,Clients!$A$5:$A$1000,0)),"Unknown client ID"))</f>
        <v/>
      </c>
      <c r="E398" s="16"/>
      <c r="F398" s="16"/>
      <c r="G398" s="17"/>
      <c r="J398" s="12" t="str">
        <f>IF($A398="","",IF(COUNTIFS(Tasks!$B$5:$B$1000,$A398,Tasks!$A$5:$A$1000,"&lt;&gt;")=0,0,COUNTIFS(Tasks!$B$5:$B$1000,$A398,Tasks!$A$5:$A$1000,"&lt;&gt;",Tasks!$D$5:$D$1000,"Done")/COUNTIFS(Tasks!$B$5:$B$1000,$A398,Tasks!$A$5:$A$1000,"&lt;&gt;")))</f>
        <v/>
      </c>
      <c r="K398" s="11" t="str">
        <f>IF(OR($A398="",$F398=""),"",$F398-Overview!$B$3)</f>
        <v/>
      </c>
    </row>
    <row r="399" spans="4:11" x14ac:dyDescent="0.25">
      <c r="D399" s="18" t="str">
        <f>IF($C399="","",IFERROR(INDEX(Clients!$B$5:$B$1000,MATCH($C399,Clients!$A$5:$A$1000,0)),"Unknown client ID"))</f>
        <v/>
      </c>
      <c r="E399" s="16"/>
      <c r="F399" s="16"/>
      <c r="G399" s="17"/>
      <c r="J399" s="12" t="str">
        <f>IF($A399="","",IF(COUNTIFS(Tasks!$B$5:$B$1000,$A399,Tasks!$A$5:$A$1000,"&lt;&gt;")=0,0,COUNTIFS(Tasks!$B$5:$B$1000,$A399,Tasks!$A$5:$A$1000,"&lt;&gt;",Tasks!$D$5:$D$1000,"Done")/COUNTIFS(Tasks!$B$5:$B$1000,$A399,Tasks!$A$5:$A$1000,"&lt;&gt;")))</f>
        <v/>
      </c>
      <c r="K399" s="11" t="str">
        <f>IF(OR($A399="",$F399=""),"",$F399-Overview!$B$3)</f>
        <v/>
      </c>
    </row>
    <row r="400" spans="4:11" x14ac:dyDescent="0.25">
      <c r="D400" s="18" t="str">
        <f>IF($C400="","",IFERROR(INDEX(Clients!$B$5:$B$1000,MATCH($C400,Clients!$A$5:$A$1000,0)),"Unknown client ID"))</f>
        <v/>
      </c>
      <c r="E400" s="16"/>
      <c r="F400" s="16"/>
      <c r="G400" s="17"/>
      <c r="J400" s="12" t="str">
        <f>IF($A400="","",IF(COUNTIFS(Tasks!$B$5:$B$1000,$A400,Tasks!$A$5:$A$1000,"&lt;&gt;")=0,0,COUNTIFS(Tasks!$B$5:$B$1000,$A400,Tasks!$A$5:$A$1000,"&lt;&gt;",Tasks!$D$5:$D$1000,"Done")/COUNTIFS(Tasks!$B$5:$B$1000,$A400,Tasks!$A$5:$A$1000,"&lt;&gt;")))</f>
        <v/>
      </c>
      <c r="K400" s="11" t="str">
        <f>IF(OR($A400="",$F400=""),"",$F400-Overview!$B$3)</f>
        <v/>
      </c>
    </row>
    <row r="401" spans="4:11" x14ac:dyDescent="0.25">
      <c r="D401" s="18" t="str">
        <f>IF($C401="","",IFERROR(INDEX(Clients!$B$5:$B$1000,MATCH($C401,Clients!$A$5:$A$1000,0)),"Unknown client ID"))</f>
        <v/>
      </c>
      <c r="E401" s="16"/>
      <c r="F401" s="16"/>
      <c r="G401" s="17"/>
      <c r="J401" s="12" t="str">
        <f>IF($A401="","",IF(COUNTIFS(Tasks!$B$5:$B$1000,$A401,Tasks!$A$5:$A$1000,"&lt;&gt;")=0,0,COUNTIFS(Tasks!$B$5:$B$1000,$A401,Tasks!$A$5:$A$1000,"&lt;&gt;",Tasks!$D$5:$D$1000,"Done")/COUNTIFS(Tasks!$B$5:$B$1000,$A401,Tasks!$A$5:$A$1000,"&lt;&gt;")))</f>
        <v/>
      </c>
      <c r="K401" s="11" t="str">
        <f>IF(OR($A401="",$F401=""),"",$F401-Overview!$B$3)</f>
        <v/>
      </c>
    </row>
    <row r="402" spans="4:11" x14ac:dyDescent="0.25">
      <c r="D402" s="18" t="str">
        <f>IF($C402="","",IFERROR(INDEX(Clients!$B$5:$B$1000,MATCH($C402,Clients!$A$5:$A$1000,0)),"Unknown client ID"))</f>
        <v/>
      </c>
      <c r="E402" s="16"/>
      <c r="F402" s="16"/>
      <c r="G402" s="17"/>
      <c r="J402" s="12" t="str">
        <f>IF($A402="","",IF(COUNTIFS(Tasks!$B$5:$B$1000,$A402,Tasks!$A$5:$A$1000,"&lt;&gt;")=0,0,COUNTIFS(Tasks!$B$5:$B$1000,$A402,Tasks!$A$5:$A$1000,"&lt;&gt;",Tasks!$D$5:$D$1000,"Done")/COUNTIFS(Tasks!$B$5:$B$1000,$A402,Tasks!$A$5:$A$1000,"&lt;&gt;")))</f>
        <v/>
      </c>
      <c r="K402" s="11" t="str">
        <f>IF(OR($A402="",$F402=""),"",$F402-Overview!$B$3)</f>
        <v/>
      </c>
    </row>
    <row r="403" spans="4:11" x14ac:dyDescent="0.25">
      <c r="D403" s="18" t="str">
        <f>IF($C403="","",IFERROR(INDEX(Clients!$B$5:$B$1000,MATCH($C403,Clients!$A$5:$A$1000,0)),"Unknown client ID"))</f>
        <v/>
      </c>
      <c r="E403" s="16"/>
      <c r="F403" s="16"/>
      <c r="G403" s="17"/>
      <c r="J403" s="12" t="str">
        <f>IF($A403="","",IF(COUNTIFS(Tasks!$B$5:$B$1000,$A403,Tasks!$A$5:$A$1000,"&lt;&gt;")=0,0,COUNTIFS(Tasks!$B$5:$B$1000,$A403,Tasks!$A$5:$A$1000,"&lt;&gt;",Tasks!$D$5:$D$1000,"Done")/COUNTIFS(Tasks!$B$5:$B$1000,$A403,Tasks!$A$5:$A$1000,"&lt;&gt;")))</f>
        <v/>
      </c>
      <c r="K403" s="11" t="str">
        <f>IF(OR($A403="",$F403=""),"",$F403-Overview!$B$3)</f>
        <v/>
      </c>
    </row>
    <row r="404" spans="4:11" x14ac:dyDescent="0.25">
      <c r="D404" s="18" t="str">
        <f>IF($C404="","",IFERROR(INDEX(Clients!$B$5:$B$1000,MATCH($C404,Clients!$A$5:$A$1000,0)),"Unknown client ID"))</f>
        <v/>
      </c>
      <c r="E404" s="16"/>
      <c r="F404" s="16"/>
      <c r="G404" s="17"/>
      <c r="J404" s="12" t="str">
        <f>IF($A404="","",IF(COUNTIFS(Tasks!$B$5:$B$1000,$A404,Tasks!$A$5:$A$1000,"&lt;&gt;")=0,0,COUNTIFS(Tasks!$B$5:$B$1000,$A404,Tasks!$A$5:$A$1000,"&lt;&gt;",Tasks!$D$5:$D$1000,"Done")/COUNTIFS(Tasks!$B$5:$B$1000,$A404,Tasks!$A$5:$A$1000,"&lt;&gt;")))</f>
        <v/>
      </c>
      <c r="K404" s="11" t="str">
        <f>IF(OR($A404="",$F404=""),"",$F404-Overview!$B$3)</f>
        <v/>
      </c>
    </row>
    <row r="405" spans="4:11" x14ac:dyDescent="0.25">
      <c r="D405" s="18" t="str">
        <f>IF($C405="","",IFERROR(INDEX(Clients!$B$5:$B$1000,MATCH($C405,Clients!$A$5:$A$1000,0)),"Unknown client ID"))</f>
        <v/>
      </c>
      <c r="E405" s="16"/>
      <c r="F405" s="16"/>
      <c r="G405" s="17"/>
      <c r="J405" s="12" t="str">
        <f>IF($A405="","",IF(COUNTIFS(Tasks!$B$5:$B$1000,$A405,Tasks!$A$5:$A$1000,"&lt;&gt;")=0,0,COUNTIFS(Tasks!$B$5:$B$1000,$A405,Tasks!$A$5:$A$1000,"&lt;&gt;",Tasks!$D$5:$D$1000,"Done")/COUNTIFS(Tasks!$B$5:$B$1000,$A405,Tasks!$A$5:$A$1000,"&lt;&gt;")))</f>
        <v/>
      </c>
      <c r="K405" s="11" t="str">
        <f>IF(OR($A405="",$F405=""),"",$F405-Overview!$B$3)</f>
        <v/>
      </c>
    </row>
    <row r="406" spans="4:11" x14ac:dyDescent="0.25">
      <c r="D406" s="18" t="str">
        <f>IF($C406="","",IFERROR(INDEX(Clients!$B$5:$B$1000,MATCH($C406,Clients!$A$5:$A$1000,0)),"Unknown client ID"))</f>
        <v/>
      </c>
      <c r="E406" s="16"/>
      <c r="F406" s="16"/>
      <c r="G406" s="17"/>
      <c r="J406" s="12" t="str">
        <f>IF($A406="","",IF(COUNTIFS(Tasks!$B$5:$B$1000,$A406,Tasks!$A$5:$A$1000,"&lt;&gt;")=0,0,COUNTIFS(Tasks!$B$5:$B$1000,$A406,Tasks!$A$5:$A$1000,"&lt;&gt;",Tasks!$D$5:$D$1000,"Done")/COUNTIFS(Tasks!$B$5:$B$1000,$A406,Tasks!$A$5:$A$1000,"&lt;&gt;")))</f>
        <v/>
      </c>
      <c r="K406" s="11" t="str">
        <f>IF(OR($A406="",$F406=""),"",$F406-Overview!$B$3)</f>
        <v/>
      </c>
    </row>
    <row r="407" spans="4:11" x14ac:dyDescent="0.25">
      <c r="D407" s="18" t="str">
        <f>IF($C407="","",IFERROR(INDEX(Clients!$B$5:$B$1000,MATCH($C407,Clients!$A$5:$A$1000,0)),"Unknown client ID"))</f>
        <v/>
      </c>
      <c r="E407" s="16"/>
      <c r="F407" s="16"/>
      <c r="G407" s="17"/>
      <c r="J407" s="12" t="str">
        <f>IF($A407="","",IF(COUNTIFS(Tasks!$B$5:$B$1000,$A407,Tasks!$A$5:$A$1000,"&lt;&gt;")=0,0,COUNTIFS(Tasks!$B$5:$B$1000,$A407,Tasks!$A$5:$A$1000,"&lt;&gt;",Tasks!$D$5:$D$1000,"Done")/COUNTIFS(Tasks!$B$5:$B$1000,$A407,Tasks!$A$5:$A$1000,"&lt;&gt;")))</f>
        <v/>
      </c>
      <c r="K407" s="11" t="str">
        <f>IF(OR($A407="",$F407=""),"",$F407-Overview!$B$3)</f>
        <v/>
      </c>
    </row>
    <row r="408" spans="4:11" x14ac:dyDescent="0.25">
      <c r="D408" s="18" t="str">
        <f>IF($C408="","",IFERROR(INDEX(Clients!$B$5:$B$1000,MATCH($C408,Clients!$A$5:$A$1000,0)),"Unknown client ID"))</f>
        <v/>
      </c>
      <c r="E408" s="16"/>
      <c r="F408" s="16"/>
      <c r="G408" s="17"/>
      <c r="J408" s="12" t="str">
        <f>IF($A408="","",IF(COUNTIFS(Tasks!$B$5:$B$1000,$A408,Tasks!$A$5:$A$1000,"&lt;&gt;")=0,0,COUNTIFS(Tasks!$B$5:$B$1000,$A408,Tasks!$A$5:$A$1000,"&lt;&gt;",Tasks!$D$5:$D$1000,"Done")/COUNTIFS(Tasks!$B$5:$B$1000,$A408,Tasks!$A$5:$A$1000,"&lt;&gt;")))</f>
        <v/>
      </c>
      <c r="K408" s="11" t="str">
        <f>IF(OR($A408="",$F408=""),"",$F408-Overview!$B$3)</f>
        <v/>
      </c>
    </row>
    <row r="409" spans="4:11" x14ac:dyDescent="0.25">
      <c r="D409" s="18" t="str">
        <f>IF($C409="","",IFERROR(INDEX(Clients!$B$5:$B$1000,MATCH($C409,Clients!$A$5:$A$1000,0)),"Unknown client ID"))</f>
        <v/>
      </c>
      <c r="E409" s="16"/>
      <c r="F409" s="16"/>
      <c r="G409" s="17"/>
      <c r="J409" s="12" t="str">
        <f>IF($A409="","",IF(COUNTIFS(Tasks!$B$5:$B$1000,$A409,Tasks!$A$5:$A$1000,"&lt;&gt;")=0,0,COUNTIFS(Tasks!$B$5:$B$1000,$A409,Tasks!$A$5:$A$1000,"&lt;&gt;",Tasks!$D$5:$D$1000,"Done")/COUNTIFS(Tasks!$B$5:$B$1000,$A409,Tasks!$A$5:$A$1000,"&lt;&gt;")))</f>
        <v/>
      </c>
      <c r="K409" s="11" t="str">
        <f>IF(OR($A409="",$F409=""),"",$F409-Overview!$B$3)</f>
        <v/>
      </c>
    </row>
    <row r="410" spans="4:11" x14ac:dyDescent="0.25">
      <c r="D410" s="18" t="str">
        <f>IF($C410="","",IFERROR(INDEX(Clients!$B$5:$B$1000,MATCH($C410,Clients!$A$5:$A$1000,0)),"Unknown client ID"))</f>
        <v/>
      </c>
      <c r="E410" s="16"/>
      <c r="F410" s="16"/>
      <c r="G410" s="17"/>
      <c r="J410" s="12" t="str">
        <f>IF($A410="","",IF(COUNTIFS(Tasks!$B$5:$B$1000,$A410,Tasks!$A$5:$A$1000,"&lt;&gt;")=0,0,COUNTIFS(Tasks!$B$5:$B$1000,$A410,Tasks!$A$5:$A$1000,"&lt;&gt;",Tasks!$D$5:$D$1000,"Done")/COUNTIFS(Tasks!$B$5:$B$1000,$A410,Tasks!$A$5:$A$1000,"&lt;&gt;")))</f>
        <v/>
      </c>
      <c r="K410" s="11" t="str">
        <f>IF(OR($A410="",$F410=""),"",$F410-Overview!$B$3)</f>
        <v/>
      </c>
    </row>
    <row r="411" spans="4:11" x14ac:dyDescent="0.25">
      <c r="D411" s="18" t="str">
        <f>IF($C411="","",IFERROR(INDEX(Clients!$B$5:$B$1000,MATCH($C411,Clients!$A$5:$A$1000,0)),"Unknown client ID"))</f>
        <v/>
      </c>
      <c r="E411" s="16"/>
      <c r="F411" s="16"/>
      <c r="G411" s="17"/>
      <c r="J411" s="12" t="str">
        <f>IF($A411="","",IF(COUNTIFS(Tasks!$B$5:$B$1000,$A411,Tasks!$A$5:$A$1000,"&lt;&gt;")=0,0,COUNTIFS(Tasks!$B$5:$B$1000,$A411,Tasks!$A$5:$A$1000,"&lt;&gt;",Tasks!$D$5:$D$1000,"Done")/COUNTIFS(Tasks!$B$5:$B$1000,$A411,Tasks!$A$5:$A$1000,"&lt;&gt;")))</f>
        <v/>
      </c>
      <c r="K411" s="11" t="str">
        <f>IF(OR($A411="",$F411=""),"",$F411-Overview!$B$3)</f>
        <v/>
      </c>
    </row>
    <row r="412" spans="4:11" x14ac:dyDescent="0.25">
      <c r="D412" s="18" t="str">
        <f>IF($C412="","",IFERROR(INDEX(Clients!$B$5:$B$1000,MATCH($C412,Clients!$A$5:$A$1000,0)),"Unknown client ID"))</f>
        <v/>
      </c>
      <c r="E412" s="16"/>
      <c r="F412" s="16"/>
      <c r="G412" s="17"/>
      <c r="J412" s="12" t="str">
        <f>IF($A412="","",IF(COUNTIFS(Tasks!$B$5:$B$1000,$A412,Tasks!$A$5:$A$1000,"&lt;&gt;")=0,0,COUNTIFS(Tasks!$B$5:$B$1000,$A412,Tasks!$A$5:$A$1000,"&lt;&gt;",Tasks!$D$5:$D$1000,"Done")/COUNTIFS(Tasks!$B$5:$B$1000,$A412,Tasks!$A$5:$A$1000,"&lt;&gt;")))</f>
        <v/>
      </c>
      <c r="K412" s="11" t="str">
        <f>IF(OR($A412="",$F412=""),"",$F412-Overview!$B$3)</f>
        <v/>
      </c>
    </row>
    <row r="413" spans="4:11" x14ac:dyDescent="0.25">
      <c r="D413" s="18" t="str">
        <f>IF($C413="","",IFERROR(INDEX(Clients!$B$5:$B$1000,MATCH($C413,Clients!$A$5:$A$1000,0)),"Unknown client ID"))</f>
        <v/>
      </c>
      <c r="E413" s="16"/>
      <c r="F413" s="16"/>
      <c r="G413" s="17"/>
      <c r="J413" s="12" t="str">
        <f>IF($A413="","",IF(COUNTIFS(Tasks!$B$5:$B$1000,$A413,Tasks!$A$5:$A$1000,"&lt;&gt;")=0,0,COUNTIFS(Tasks!$B$5:$B$1000,$A413,Tasks!$A$5:$A$1000,"&lt;&gt;",Tasks!$D$5:$D$1000,"Done")/COUNTIFS(Tasks!$B$5:$B$1000,$A413,Tasks!$A$5:$A$1000,"&lt;&gt;")))</f>
        <v/>
      </c>
      <c r="K413" s="11" t="str">
        <f>IF(OR($A413="",$F413=""),"",$F413-Overview!$B$3)</f>
        <v/>
      </c>
    </row>
    <row r="414" spans="4:11" x14ac:dyDescent="0.25">
      <c r="D414" s="18" t="str">
        <f>IF($C414="","",IFERROR(INDEX(Clients!$B$5:$B$1000,MATCH($C414,Clients!$A$5:$A$1000,0)),"Unknown client ID"))</f>
        <v/>
      </c>
      <c r="E414" s="16"/>
      <c r="F414" s="16"/>
      <c r="G414" s="17"/>
      <c r="J414" s="12" t="str">
        <f>IF($A414="","",IF(COUNTIFS(Tasks!$B$5:$B$1000,$A414,Tasks!$A$5:$A$1000,"&lt;&gt;")=0,0,COUNTIFS(Tasks!$B$5:$B$1000,$A414,Tasks!$A$5:$A$1000,"&lt;&gt;",Tasks!$D$5:$D$1000,"Done")/COUNTIFS(Tasks!$B$5:$B$1000,$A414,Tasks!$A$5:$A$1000,"&lt;&gt;")))</f>
        <v/>
      </c>
      <c r="K414" s="11" t="str">
        <f>IF(OR($A414="",$F414=""),"",$F414-Overview!$B$3)</f>
        <v/>
      </c>
    </row>
    <row r="415" spans="4:11" x14ac:dyDescent="0.25">
      <c r="D415" s="18" t="str">
        <f>IF($C415="","",IFERROR(INDEX(Clients!$B$5:$B$1000,MATCH($C415,Clients!$A$5:$A$1000,0)),"Unknown client ID"))</f>
        <v/>
      </c>
      <c r="E415" s="16"/>
      <c r="F415" s="16"/>
      <c r="G415" s="17"/>
      <c r="J415" s="12" t="str">
        <f>IF($A415="","",IF(COUNTIFS(Tasks!$B$5:$B$1000,$A415,Tasks!$A$5:$A$1000,"&lt;&gt;")=0,0,COUNTIFS(Tasks!$B$5:$B$1000,$A415,Tasks!$A$5:$A$1000,"&lt;&gt;",Tasks!$D$5:$D$1000,"Done")/COUNTIFS(Tasks!$B$5:$B$1000,$A415,Tasks!$A$5:$A$1000,"&lt;&gt;")))</f>
        <v/>
      </c>
      <c r="K415" s="11" t="str">
        <f>IF(OR($A415="",$F415=""),"",$F415-Overview!$B$3)</f>
        <v/>
      </c>
    </row>
    <row r="416" spans="4:11" x14ac:dyDescent="0.25">
      <c r="D416" s="18" t="str">
        <f>IF($C416="","",IFERROR(INDEX(Clients!$B$5:$B$1000,MATCH($C416,Clients!$A$5:$A$1000,0)),"Unknown client ID"))</f>
        <v/>
      </c>
      <c r="E416" s="16"/>
      <c r="F416" s="16"/>
      <c r="G416" s="17"/>
      <c r="J416" s="12" t="str">
        <f>IF($A416="","",IF(COUNTIFS(Tasks!$B$5:$B$1000,$A416,Tasks!$A$5:$A$1000,"&lt;&gt;")=0,0,COUNTIFS(Tasks!$B$5:$B$1000,$A416,Tasks!$A$5:$A$1000,"&lt;&gt;",Tasks!$D$5:$D$1000,"Done")/COUNTIFS(Tasks!$B$5:$B$1000,$A416,Tasks!$A$5:$A$1000,"&lt;&gt;")))</f>
        <v/>
      </c>
      <c r="K416" s="11" t="str">
        <f>IF(OR($A416="",$F416=""),"",$F416-Overview!$B$3)</f>
        <v/>
      </c>
    </row>
    <row r="417" spans="4:11" x14ac:dyDescent="0.25">
      <c r="D417" s="18" t="str">
        <f>IF($C417="","",IFERROR(INDEX(Clients!$B$5:$B$1000,MATCH($C417,Clients!$A$5:$A$1000,0)),"Unknown client ID"))</f>
        <v/>
      </c>
      <c r="E417" s="16"/>
      <c r="F417" s="16"/>
      <c r="G417" s="17"/>
      <c r="J417" s="12" t="str">
        <f>IF($A417="","",IF(COUNTIFS(Tasks!$B$5:$B$1000,$A417,Tasks!$A$5:$A$1000,"&lt;&gt;")=0,0,COUNTIFS(Tasks!$B$5:$B$1000,$A417,Tasks!$A$5:$A$1000,"&lt;&gt;",Tasks!$D$5:$D$1000,"Done")/COUNTIFS(Tasks!$B$5:$B$1000,$A417,Tasks!$A$5:$A$1000,"&lt;&gt;")))</f>
        <v/>
      </c>
      <c r="K417" s="11" t="str">
        <f>IF(OR($A417="",$F417=""),"",$F417-Overview!$B$3)</f>
        <v/>
      </c>
    </row>
    <row r="418" spans="4:11" x14ac:dyDescent="0.25">
      <c r="D418" s="18" t="str">
        <f>IF($C418="","",IFERROR(INDEX(Clients!$B$5:$B$1000,MATCH($C418,Clients!$A$5:$A$1000,0)),"Unknown client ID"))</f>
        <v/>
      </c>
      <c r="E418" s="16"/>
      <c r="F418" s="16"/>
      <c r="G418" s="17"/>
      <c r="J418" s="12" t="str">
        <f>IF($A418="","",IF(COUNTIFS(Tasks!$B$5:$B$1000,$A418,Tasks!$A$5:$A$1000,"&lt;&gt;")=0,0,COUNTIFS(Tasks!$B$5:$B$1000,$A418,Tasks!$A$5:$A$1000,"&lt;&gt;",Tasks!$D$5:$D$1000,"Done")/COUNTIFS(Tasks!$B$5:$B$1000,$A418,Tasks!$A$5:$A$1000,"&lt;&gt;")))</f>
        <v/>
      </c>
      <c r="K418" s="11" t="str">
        <f>IF(OR($A418="",$F418=""),"",$F418-Overview!$B$3)</f>
        <v/>
      </c>
    </row>
    <row r="419" spans="4:11" x14ac:dyDescent="0.25">
      <c r="D419" s="18" t="str">
        <f>IF($C419="","",IFERROR(INDEX(Clients!$B$5:$B$1000,MATCH($C419,Clients!$A$5:$A$1000,0)),"Unknown client ID"))</f>
        <v/>
      </c>
      <c r="E419" s="16"/>
      <c r="F419" s="16"/>
      <c r="G419" s="17"/>
      <c r="J419" s="12" t="str">
        <f>IF($A419="","",IF(COUNTIFS(Tasks!$B$5:$B$1000,$A419,Tasks!$A$5:$A$1000,"&lt;&gt;")=0,0,COUNTIFS(Tasks!$B$5:$B$1000,$A419,Tasks!$A$5:$A$1000,"&lt;&gt;",Tasks!$D$5:$D$1000,"Done")/COUNTIFS(Tasks!$B$5:$B$1000,$A419,Tasks!$A$5:$A$1000,"&lt;&gt;")))</f>
        <v/>
      </c>
      <c r="K419" s="11" t="str">
        <f>IF(OR($A419="",$F419=""),"",$F419-Overview!$B$3)</f>
        <v/>
      </c>
    </row>
    <row r="420" spans="4:11" x14ac:dyDescent="0.25">
      <c r="D420" s="18" t="str">
        <f>IF($C420="","",IFERROR(INDEX(Clients!$B$5:$B$1000,MATCH($C420,Clients!$A$5:$A$1000,0)),"Unknown client ID"))</f>
        <v/>
      </c>
      <c r="E420" s="16"/>
      <c r="F420" s="16"/>
      <c r="G420" s="17"/>
      <c r="J420" s="12" t="str">
        <f>IF($A420="","",IF(COUNTIFS(Tasks!$B$5:$B$1000,$A420,Tasks!$A$5:$A$1000,"&lt;&gt;")=0,0,COUNTIFS(Tasks!$B$5:$B$1000,$A420,Tasks!$A$5:$A$1000,"&lt;&gt;",Tasks!$D$5:$D$1000,"Done")/COUNTIFS(Tasks!$B$5:$B$1000,$A420,Tasks!$A$5:$A$1000,"&lt;&gt;")))</f>
        <v/>
      </c>
      <c r="K420" s="11" t="str">
        <f>IF(OR($A420="",$F420=""),"",$F420-Overview!$B$3)</f>
        <v/>
      </c>
    </row>
    <row r="421" spans="4:11" x14ac:dyDescent="0.25">
      <c r="D421" s="18" t="str">
        <f>IF($C421="","",IFERROR(INDEX(Clients!$B$5:$B$1000,MATCH($C421,Clients!$A$5:$A$1000,0)),"Unknown client ID"))</f>
        <v/>
      </c>
      <c r="E421" s="16"/>
      <c r="F421" s="16"/>
      <c r="G421" s="17"/>
      <c r="J421" s="12" t="str">
        <f>IF($A421="","",IF(COUNTIFS(Tasks!$B$5:$B$1000,$A421,Tasks!$A$5:$A$1000,"&lt;&gt;")=0,0,COUNTIFS(Tasks!$B$5:$B$1000,$A421,Tasks!$A$5:$A$1000,"&lt;&gt;",Tasks!$D$5:$D$1000,"Done")/COUNTIFS(Tasks!$B$5:$B$1000,$A421,Tasks!$A$5:$A$1000,"&lt;&gt;")))</f>
        <v/>
      </c>
      <c r="K421" s="11" t="str">
        <f>IF(OR($A421="",$F421=""),"",$F421-Overview!$B$3)</f>
        <v/>
      </c>
    </row>
    <row r="422" spans="4:11" x14ac:dyDescent="0.25">
      <c r="D422" s="18" t="str">
        <f>IF($C422="","",IFERROR(INDEX(Clients!$B$5:$B$1000,MATCH($C422,Clients!$A$5:$A$1000,0)),"Unknown client ID"))</f>
        <v/>
      </c>
      <c r="E422" s="16"/>
      <c r="F422" s="16"/>
      <c r="G422" s="17"/>
      <c r="J422" s="12" t="str">
        <f>IF($A422="","",IF(COUNTIFS(Tasks!$B$5:$B$1000,$A422,Tasks!$A$5:$A$1000,"&lt;&gt;")=0,0,COUNTIFS(Tasks!$B$5:$B$1000,$A422,Tasks!$A$5:$A$1000,"&lt;&gt;",Tasks!$D$5:$D$1000,"Done")/COUNTIFS(Tasks!$B$5:$B$1000,$A422,Tasks!$A$5:$A$1000,"&lt;&gt;")))</f>
        <v/>
      </c>
      <c r="K422" s="11" t="str">
        <f>IF(OR($A422="",$F422=""),"",$F422-Overview!$B$3)</f>
        <v/>
      </c>
    </row>
    <row r="423" spans="4:11" x14ac:dyDescent="0.25">
      <c r="D423" s="18" t="str">
        <f>IF($C423="","",IFERROR(INDEX(Clients!$B$5:$B$1000,MATCH($C423,Clients!$A$5:$A$1000,0)),"Unknown client ID"))</f>
        <v/>
      </c>
      <c r="E423" s="16"/>
      <c r="F423" s="16"/>
      <c r="G423" s="17"/>
      <c r="J423" s="12" t="str">
        <f>IF($A423="","",IF(COUNTIFS(Tasks!$B$5:$B$1000,$A423,Tasks!$A$5:$A$1000,"&lt;&gt;")=0,0,COUNTIFS(Tasks!$B$5:$B$1000,$A423,Tasks!$A$5:$A$1000,"&lt;&gt;",Tasks!$D$5:$D$1000,"Done")/COUNTIFS(Tasks!$B$5:$B$1000,$A423,Tasks!$A$5:$A$1000,"&lt;&gt;")))</f>
        <v/>
      </c>
      <c r="K423" s="11" t="str">
        <f>IF(OR($A423="",$F423=""),"",$F423-Overview!$B$3)</f>
        <v/>
      </c>
    </row>
    <row r="424" spans="4:11" x14ac:dyDescent="0.25">
      <c r="D424" s="18" t="str">
        <f>IF($C424="","",IFERROR(INDEX(Clients!$B$5:$B$1000,MATCH($C424,Clients!$A$5:$A$1000,0)),"Unknown client ID"))</f>
        <v/>
      </c>
      <c r="E424" s="16"/>
      <c r="F424" s="16"/>
      <c r="G424" s="17"/>
      <c r="J424" s="12" t="str">
        <f>IF($A424="","",IF(COUNTIFS(Tasks!$B$5:$B$1000,$A424,Tasks!$A$5:$A$1000,"&lt;&gt;")=0,0,COUNTIFS(Tasks!$B$5:$B$1000,$A424,Tasks!$A$5:$A$1000,"&lt;&gt;",Tasks!$D$5:$D$1000,"Done")/COUNTIFS(Tasks!$B$5:$B$1000,$A424,Tasks!$A$5:$A$1000,"&lt;&gt;")))</f>
        <v/>
      </c>
      <c r="K424" s="11" t="str">
        <f>IF(OR($A424="",$F424=""),"",$F424-Overview!$B$3)</f>
        <v/>
      </c>
    </row>
    <row r="425" spans="4:11" x14ac:dyDescent="0.25">
      <c r="D425" s="18" t="str">
        <f>IF($C425="","",IFERROR(INDEX(Clients!$B$5:$B$1000,MATCH($C425,Clients!$A$5:$A$1000,0)),"Unknown client ID"))</f>
        <v/>
      </c>
      <c r="E425" s="16"/>
      <c r="F425" s="16"/>
      <c r="G425" s="17"/>
      <c r="J425" s="12" t="str">
        <f>IF($A425="","",IF(COUNTIFS(Tasks!$B$5:$B$1000,$A425,Tasks!$A$5:$A$1000,"&lt;&gt;")=0,0,COUNTIFS(Tasks!$B$5:$B$1000,$A425,Tasks!$A$5:$A$1000,"&lt;&gt;",Tasks!$D$5:$D$1000,"Done")/COUNTIFS(Tasks!$B$5:$B$1000,$A425,Tasks!$A$5:$A$1000,"&lt;&gt;")))</f>
        <v/>
      </c>
      <c r="K425" s="11" t="str">
        <f>IF(OR($A425="",$F425=""),"",$F425-Overview!$B$3)</f>
        <v/>
      </c>
    </row>
    <row r="426" spans="4:11" x14ac:dyDescent="0.25">
      <c r="D426" s="18" t="str">
        <f>IF($C426="","",IFERROR(INDEX(Clients!$B$5:$B$1000,MATCH($C426,Clients!$A$5:$A$1000,0)),"Unknown client ID"))</f>
        <v/>
      </c>
      <c r="E426" s="16"/>
      <c r="F426" s="16"/>
      <c r="G426" s="17"/>
      <c r="J426" s="12" t="str">
        <f>IF($A426="","",IF(COUNTIFS(Tasks!$B$5:$B$1000,$A426,Tasks!$A$5:$A$1000,"&lt;&gt;")=0,0,COUNTIFS(Tasks!$B$5:$B$1000,$A426,Tasks!$A$5:$A$1000,"&lt;&gt;",Tasks!$D$5:$D$1000,"Done")/COUNTIFS(Tasks!$B$5:$B$1000,$A426,Tasks!$A$5:$A$1000,"&lt;&gt;")))</f>
        <v/>
      </c>
      <c r="K426" s="11" t="str">
        <f>IF(OR($A426="",$F426=""),"",$F426-Overview!$B$3)</f>
        <v/>
      </c>
    </row>
    <row r="427" spans="4:11" x14ac:dyDescent="0.25">
      <c r="D427" s="18" t="str">
        <f>IF($C427="","",IFERROR(INDEX(Clients!$B$5:$B$1000,MATCH($C427,Clients!$A$5:$A$1000,0)),"Unknown client ID"))</f>
        <v/>
      </c>
      <c r="E427" s="16"/>
      <c r="F427" s="16"/>
      <c r="G427" s="17"/>
      <c r="J427" s="12" t="str">
        <f>IF($A427="","",IF(COUNTIFS(Tasks!$B$5:$B$1000,$A427,Tasks!$A$5:$A$1000,"&lt;&gt;")=0,0,COUNTIFS(Tasks!$B$5:$B$1000,$A427,Tasks!$A$5:$A$1000,"&lt;&gt;",Tasks!$D$5:$D$1000,"Done")/COUNTIFS(Tasks!$B$5:$B$1000,$A427,Tasks!$A$5:$A$1000,"&lt;&gt;")))</f>
        <v/>
      </c>
      <c r="K427" s="11" t="str">
        <f>IF(OR($A427="",$F427=""),"",$F427-Overview!$B$3)</f>
        <v/>
      </c>
    </row>
    <row r="428" spans="4:11" x14ac:dyDescent="0.25">
      <c r="D428" s="18" t="str">
        <f>IF($C428="","",IFERROR(INDEX(Clients!$B$5:$B$1000,MATCH($C428,Clients!$A$5:$A$1000,0)),"Unknown client ID"))</f>
        <v/>
      </c>
      <c r="E428" s="16"/>
      <c r="F428" s="16"/>
      <c r="G428" s="17"/>
      <c r="J428" s="12" t="str">
        <f>IF($A428="","",IF(COUNTIFS(Tasks!$B$5:$B$1000,$A428,Tasks!$A$5:$A$1000,"&lt;&gt;")=0,0,COUNTIFS(Tasks!$B$5:$B$1000,$A428,Tasks!$A$5:$A$1000,"&lt;&gt;",Tasks!$D$5:$D$1000,"Done")/COUNTIFS(Tasks!$B$5:$B$1000,$A428,Tasks!$A$5:$A$1000,"&lt;&gt;")))</f>
        <v/>
      </c>
      <c r="K428" s="11" t="str">
        <f>IF(OR($A428="",$F428=""),"",$F428-Overview!$B$3)</f>
        <v/>
      </c>
    </row>
    <row r="429" spans="4:11" x14ac:dyDescent="0.25">
      <c r="D429" s="18" t="str">
        <f>IF($C429="","",IFERROR(INDEX(Clients!$B$5:$B$1000,MATCH($C429,Clients!$A$5:$A$1000,0)),"Unknown client ID"))</f>
        <v/>
      </c>
      <c r="E429" s="16"/>
      <c r="F429" s="16"/>
      <c r="G429" s="17"/>
      <c r="J429" s="12" t="str">
        <f>IF($A429="","",IF(COUNTIFS(Tasks!$B$5:$B$1000,$A429,Tasks!$A$5:$A$1000,"&lt;&gt;")=0,0,COUNTIFS(Tasks!$B$5:$B$1000,$A429,Tasks!$A$5:$A$1000,"&lt;&gt;",Tasks!$D$5:$D$1000,"Done")/COUNTIFS(Tasks!$B$5:$B$1000,$A429,Tasks!$A$5:$A$1000,"&lt;&gt;")))</f>
        <v/>
      </c>
      <c r="K429" s="11" t="str">
        <f>IF(OR($A429="",$F429=""),"",$F429-Overview!$B$3)</f>
        <v/>
      </c>
    </row>
    <row r="430" spans="4:11" x14ac:dyDescent="0.25">
      <c r="D430" s="18" t="str">
        <f>IF($C430="","",IFERROR(INDEX(Clients!$B$5:$B$1000,MATCH($C430,Clients!$A$5:$A$1000,0)),"Unknown client ID"))</f>
        <v/>
      </c>
      <c r="E430" s="16"/>
      <c r="F430" s="16"/>
      <c r="G430" s="17"/>
      <c r="J430" s="12" t="str">
        <f>IF($A430="","",IF(COUNTIFS(Tasks!$B$5:$B$1000,$A430,Tasks!$A$5:$A$1000,"&lt;&gt;")=0,0,COUNTIFS(Tasks!$B$5:$B$1000,$A430,Tasks!$A$5:$A$1000,"&lt;&gt;",Tasks!$D$5:$D$1000,"Done")/COUNTIFS(Tasks!$B$5:$B$1000,$A430,Tasks!$A$5:$A$1000,"&lt;&gt;")))</f>
        <v/>
      </c>
      <c r="K430" s="11" t="str">
        <f>IF(OR($A430="",$F430=""),"",$F430-Overview!$B$3)</f>
        <v/>
      </c>
    </row>
    <row r="431" spans="4:11" x14ac:dyDescent="0.25">
      <c r="D431" s="18" t="str">
        <f>IF($C431="","",IFERROR(INDEX(Clients!$B$5:$B$1000,MATCH($C431,Clients!$A$5:$A$1000,0)),"Unknown client ID"))</f>
        <v/>
      </c>
      <c r="E431" s="16"/>
      <c r="F431" s="16"/>
      <c r="G431" s="17"/>
      <c r="J431" s="12" t="str">
        <f>IF($A431="","",IF(COUNTIFS(Tasks!$B$5:$B$1000,$A431,Tasks!$A$5:$A$1000,"&lt;&gt;")=0,0,COUNTIFS(Tasks!$B$5:$B$1000,$A431,Tasks!$A$5:$A$1000,"&lt;&gt;",Tasks!$D$5:$D$1000,"Done")/COUNTIFS(Tasks!$B$5:$B$1000,$A431,Tasks!$A$5:$A$1000,"&lt;&gt;")))</f>
        <v/>
      </c>
      <c r="K431" s="11" t="str">
        <f>IF(OR($A431="",$F431=""),"",$F431-Overview!$B$3)</f>
        <v/>
      </c>
    </row>
    <row r="432" spans="4:11" x14ac:dyDescent="0.25">
      <c r="D432" s="18" t="str">
        <f>IF($C432="","",IFERROR(INDEX(Clients!$B$5:$B$1000,MATCH($C432,Clients!$A$5:$A$1000,0)),"Unknown client ID"))</f>
        <v/>
      </c>
      <c r="E432" s="16"/>
      <c r="F432" s="16"/>
      <c r="G432" s="17"/>
      <c r="J432" s="12" t="str">
        <f>IF($A432="","",IF(COUNTIFS(Tasks!$B$5:$B$1000,$A432,Tasks!$A$5:$A$1000,"&lt;&gt;")=0,0,COUNTIFS(Tasks!$B$5:$B$1000,$A432,Tasks!$A$5:$A$1000,"&lt;&gt;",Tasks!$D$5:$D$1000,"Done")/COUNTIFS(Tasks!$B$5:$B$1000,$A432,Tasks!$A$5:$A$1000,"&lt;&gt;")))</f>
        <v/>
      </c>
      <c r="K432" s="11" t="str">
        <f>IF(OR($A432="",$F432=""),"",$F432-Overview!$B$3)</f>
        <v/>
      </c>
    </row>
    <row r="433" spans="4:11" x14ac:dyDescent="0.25">
      <c r="D433" s="18" t="str">
        <f>IF($C433="","",IFERROR(INDEX(Clients!$B$5:$B$1000,MATCH($C433,Clients!$A$5:$A$1000,0)),"Unknown client ID"))</f>
        <v/>
      </c>
      <c r="E433" s="16"/>
      <c r="F433" s="16"/>
      <c r="G433" s="17"/>
      <c r="J433" s="12" t="str">
        <f>IF($A433="","",IF(COUNTIFS(Tasks!$B$5:$B$1000,$A433,Tasks!$A$5:$A$1000,"&lt;&gt;")=0,0,COUNTIFS(Tasks!$B$5:$B$1000,$A433,Tasks!$A$5:$A$1000,"&lt;&gt;",Tasks!$D$5:$D$1000,"Done")/COUNTIFS(Tasks!$B$5:$B$1000,$A433,Tasks!$A$5:$A$1000,"&lt;&gt;")))</f>
        <v/>
      </c>
      <c r="K433" s="11" t="str">
        <f>IF(OR($A433="",$F433=""),"",$F433-Overview!$B$3)</f>
        <v/>
      </c>
    </row>
    <row r="434" spans="4:11" x14ac:dyDescent="0.25">
      <c r="D434" s="18" t="str">
        <f>IF($C434="","",IFERROR(INDEX(Clients!$B$5:$B$1000,MATCH($C434,Clients!$A$5:$A$1000,0)),"Unknown client ID"))</f>
        <v/>
      </c>
      <c r="E434" s="16"/>
      <c r="F434" s="16"/>
      <c r="G434" s="17"/>
      <c r="J434" s="12" t="str">
        <f>IF($A434="","",IF(COUNTIFS(Tasks!$B$5:$B$1000,$A434,Tasks!$A$5:$A$1000,"&lt;&gt;")=0,0,COUNTIFS(Tasks!$B$5:$B$1000,$A434,Tasks!$A$5:$A$1000,"&lt;&gt;",Tasks!$D$5:$D$1000,"Done")/COUNTIFS(Tasks!$B$5:$B$1000,$A434,Tasks!$A$5:$A$1000,"&lt;&gt;")))</f>
        <v/>
      </c>
      <c r="K434" s="11" t="str">
        <f>IF(OR($A434="",$F434=""),"",$F434-Overview!$B$3)</f>
        <v/>
      </c>
    </row>
    <row r="435" spans="4:11" x14ac:dyDescent="0.25">
      <c r="D435" s="18" t="str">
        <f>IF($C435="","",IFERROR(INDEX(Clients!$B$5:$B$1000,MATCH($C435,Clients!$A$5:$A$1000,0)),"Unknown client ID"))</f>
        <v/>
      </c>
      <c r="E435" s="16"/>
      <c r="F435" s="16"/>
      <c r="G435" s="17"/>
      <c r="J435" s="12" t="str">
        <f>IF($A435="","",IF(COUNTIFS(Tasks!$B$5:$B$1000,$A435,Tasks!$A$5:$A$1000,"&lt;&gt;")=0,0,COUNTIFS(Tasks!$B$5:$B$1000,$A435,Tasks!$A$5:$A$1000,"&lt;&gt;",Tasks!$D$5:$D$1000,"Done")/COUNTIFS(Tasks!$B$5:$B$1000,$A435,Tasks!$A$5:$A$1000,"&lt;&gt;")))</f>
        <v/>
      </c>
      <c r="K435" s="11" t="str">
        <f>IF(OR($A435="",$F435=""),"",$F435-Overview!$B$3)</f>
        <v/>
      </c>
    </row>
    <row r="436" spans="4:11" x14ac:dyDescent="0.25">
      <c r="D436" s="18" t="str">
        <f>IF($C436="","",IFERROR(INDEX(Clients!$B$5:$B$1000,MATCH($C436,Clients!$A$5:$A$1000,0)),"Unknown client ID"))</f>
        <v/>
      </c>
      <c r="E436" s="16"/>
      <c r="F436" s="16"/>
      <c r="G436" s="17"/>
      <c r="J436" s="12" t="str">
        <f>IF($A436="","",IF(COUNTIFS(Tasks!$B$5:$B$1000,$A436,Tasks!$A$5:$A$1000,"&lt;&gt;")=0,0,COUNTIFS(Tasks!$B$5:$B$1000,$A436,Tasks!$A$5:$A$1000,"&lt;&gt;",Tasks!$D$5:$D$1000,"Done")/COUNTIFS(Tasks!$B$5:$B$1000,$A436,Tasks!$A$5:$A$1000,"&lt;&gt;")))</f>
        <v/>
      </c>
      <c r="K436" s="11" t="str">
        <f>IF(OR($A436="",$F436=""),"",$F436-Overview!$B$3)</f>
        <v/>
      </c>
    </row>
    <row r="437" spans="4:11" x14ac:dyDescent="0.25">
      <c r="D437" s="18" t="str">
        <f>IF($C437="","",IFERROR(INDEX(Clients!$B$5:$B$1000,MATCH($C437,Clients!$A$5:$A$1000,0)),"Unknown client ID"))</f>
        <v/>
      </c>
      <c r="E437" s="16"/>
      <c r="F437" s="16"/>
      <c r="G437" s="17"/>
      <c r="J437" s="12" t="str">
        <f>IF($A437="","",IF(COUNTIFS(Tasks!$B$5:$B$1000,$A437,Tasks!$A$5:$A$1000,"&lt;&gt;")=0,0,COUNTIFS(Tasks!$B$5:$B$1000,$A437,Tasks!$A$5:$A$1000,"&lt;&gt;",Tasks!$D$5:$D$1000,"Done")/COUNTIFS(Tasks!$B$5:$B$1000,$A437,Tasks!$A$5:$A$1000,"&lt;&gt;")))</f>
        <v/>
      </c>
      <c r="K437" s="11" t="str">
        <f>IF(OR($A437="",$F437=""),"",$F437-Overview!$B$3)</f>
        <v/>
      </c>
    </row>
    <row r="438" spans="4:11" x14ac:dyDescent="0.25">
      <c r="D438" s="18" t="str">
        <f>IF($C438="","",IFERROR(INDEX(Clients!$B$5:$B$1000,MATCH($C438,Clients!$A$5:$A$1000,0)),"Unknown client ID"))</f>
        <v/>
      </c>
      <c r="E438" s="16"/>
      <c r="F438" s="16"/>
      <c r="G438" s="17"/>
      <c r="J438" s="12" t="str">
        <f>IF($A438="","",IF(COUNTIFS(Tasks!$B$5:$B$1000,$A438,Tasks!$A$5:$A$1000,"&lt;&gt;")=0,0,COUNTIFS(Tasks!$B$5:$B$1000,$A438,Tasks!$A$5:$A$1000,"&lt;&gt;",Tasks!$D$5:$D$1000,"Done")/COUNTIFS(Tasks!$B$5:$B$1000,$A438,Tasks!$A$5:$A$1000,"&lt;&gt;")))</f>
        <v/>
      </c>
      <c r="K438" s="11" t="str">
        <f>IF(OR($A438="",$F438=""),"",$F438-Overview!$B$3)</f>
        <v/>
      </c>
    </row>
    <row r="439" spans="4:11" x14ac:dyDescent="0.25">
      <c r="D439" s="18" t="str">
        <f>IF($C439="","",IFERROR(INDEX(Clients!$B$5:$B$1000,MATCH($C439,Clients!$A$5:$A$1000,0)),"Unknown client ID"))</f>
        <v/>
      </c>
      <c r="E439" s="16"/>
      <c r="F439" s="16"/>
      <c r="G439" s="17"/>
      <c r="J439" s="12" t="str">
        <f>IF($A439="","",IF(COUNTIFS(Tasks!$B$5:$B$1000,$A439,Tasks!$A$5:$A$1000,"&lt;&gt;")=0,0,COUNTIFS(Tasks!$B$5:$B$1000,$A439,Tasks!$A$5:$A$1000,"&lt;&gt;",Tasks!$D$5:$D$1000,"Done")/COUNTIFS(Tasks!$B$5:$B$1000,$A439,Tasks!$A$5:$A$1000,"&lt;&gt;")))</f>
        <v/>
      </c>
      <c r="K439" s="11" t="str">
        <f>IF(OR($A439="",$F439=""),"",$F439-Overview!$B$3)</f>
        <v/>
      </c>
    </row>
    <row r="440" spans="4:11" x14ac:dyDescent="0.25">
      <c r="D440" s="18" t="str">
        <f>IF($C440="","",IFERROR(INDEX(Clients!$B$5:$B$1000,MATCH($C440,Clients!$A$5:$A$1000,0)),"Unknown client ID"))</f>
        <v/>
      </c>
      <c r="E440" s="16"/>
      <c r="F440" s="16"/>
      <c r="G440" s="17"/>
      <c r="J440" s="12" t="str">
        <f>IF($A440="","",IF(COUNTIFS(Tasks!$B$5:$B$1000,$A440,Tasks!$A$5:$A$1000,"&lt;&gt;")=0,0,COUNTIFS(Tasks!$B$5:$B$1000,$A440,Tasks!$A$5:$A$1000,"&lt;&gt;",Tasks!$D$5:$D$1000,"Done")/COUNTIFS(Tasks!$B$5:$B$1000,$A440,Tasks!$A$5:$A$1000,"&lt;&gt;")))</f>
        <v/>
      </c>
      <c r="K440" s="11" t="str">
        <f>IF(OR($A440="",$F440=""),"",$F440-Overview!$B$3)</f>
        <v/>
      </c>
    </row>
    <row r="441" spans="4:11" x14ac:dyDescent="0.25">
      <c r="D441" s="18" t="str">
        <f>IF($C441="","",IFERROR(INDEX(Clients!$B$5:$B$1000,MATCH($C441,Clients!$A$5:$A$1000,0)),"Unknown client ID"))</f>
        <v/>
      </c>
      <c r="E441" s="16"/>
      <c r="F441" s="16"/>
      <c r="G441" s="17"/>
      <c r="J441" s="12" t="str">
        <f>IF($A441="","",IF(COUNTIFS(Tasks!$B$5:$B$1000,$A441,Tasks!$A$5:$A$1000,"&lt;&gt;")=0,0,COUNTIFS(Tasks!$B$5:$B$1000,$A441,Tasks!$A$5:$A$1000,"&lt;&gt;",Tasks!$D$5:$D$1000,"Done")/COUNTIFS(Tasks!$B$5:$B$1000,$A441,Tasks!$A$5:$A$1000,"&lt;&gt;")))</f>
        <v/>
      </c>
      <c r="K441" s="11" t="str">
        <f>IF(OR($A441="",$F441=""),"",$F441-Overview!$B$3)</f>
        <v/>
      </c>
    </row>
    <row r="442" spans="4:11" x14ac:dyDescent="0.25">
      <c r="D442" s="18" t="str">
        <f>IF($C442="","",IFERROR(INDEX(Clients!$B$5:$B$1000,MATCH($C442,Clients!$A$5:$A$1000,0)),"Unknown client ID"))</f>
        <v/>
      </c>
      <c r="E442" s="16"/>
      <c r="F442" s="16"/>
      <c r="G442" s="17"/>
      <c r="J442" s="12" t="str">
        <f>IF($A442="","",IF(COUNTIFS(Tasks!$B$5:$B$1000,$A442,Tasks!$A$5:$A$1000,"&lt;&gt;")=0,0,COUNTIFS(Tasks!$B$5:$B$1000,$A442,Tasks!$A$5:$A$1000,"&lt;&gt;",Tasks!$D$5:$D$1000,"Done")/COUNTIFS(Tasks!$B$5:$B$1000,$A442,Tasks!$A$5:$A$1000,"&lt;&gt;")))</f>
        <v/>
      </c>
      <c r="K442" s="11" t="str">
        <f>IF(OR($A442="",$F442=""),"",$F442-Overview!$B$3)</f>
        <v/>
      </c>
    </row>
    <row r="443" spans="4:11" x14ac:dyDescent="0.25">
      <c r="D443" s="18" t="str">
        <f>IF($C443="","",IFERROR(INDEX(Clients!$B$5:$B$1000,MATCH($C443,Clients!$A$5:$A$1000,0)),"Unknown client ID"))</f>
        <v/>
      </c>
      <c r="E443" s="16"/>
      <c r="F443" s="16"/>
      <c r="G443" s="17"/>
      <c r="J443" s="12" t="str">
        <f>IF($A443="","",IF(COUNTIFS(Tasks!$B$5:$B$1000,$A443,Tasks!$A$5:$A$1000,"&lt;&gt;")=0,0,COUNTIFS(Tasks!$B$5:$B$1000,$A443,Tasks!$A$5:$A$1000,"&lt;&gt;",Tasks!$D$5:$D$1000,"Done")/COUNTIFS(Tasks!$B$5:$B$1000,$A443,Tasks!$A$5:$A$1000,"&lt;&gt;")))</f>
        <v/>
      </c>
      <c r="K443" s="11" t="str">
        <f>IF(OR($A443="",$F443=""),"",$F443-Overview!$B$3)</f>
        <v/>
      </c>
    </row>
    <row r="444" spans="4:11" x14ac:dyDescent="0.25">
      <c r="D444" s="18" t="str">
        <f>IF($C444="","",IFERROR(INDEX(Clients!$B$5:$B$1000,MATCH($C444,Clients!$A$5:$A$1000,0)),"Unknown client ID"))</f>
        <v/>
      </c>
      <c r="E444" s="16"/>
      <c r="F444" s="16"/>
      <c r="G444" s="17"/>
      <c r="J444" s="12" t="str">
        <f>IF($A444="","",IF(COUNTIFS(Tasks!$B$5:$B$1000,$A444,Tasks!$A$5:$A$1000,"&lt;&gt;")=0,0,COUNTIFS(Tasks!$B$5:$B$1000,$A444,Tasks!$A$5:$A$1000,"&lt;&gt;",Tasks!$D$5:$D$1000,"Done")/COUNTIFS(Tasks!$B$5:$B$1000,$A444,Tasks!$A$5:$A$1000,"&lt;&gt;")))</f>
        <v/>
      </c>
      <c r="K444" s="11" t="str">
        <f>IF(OR($A444="",$F444=""),"",$F444-Overview!$B$3)</f>
        <v/>
      </c>
    </row>
    <row r="445" spans="4:11" x14ac:dyDescent="0.25">
      <c r="D445" s="18" t="str">
        <f>IF($C445="","",IFERROR(INDEX(Clients!$B$5:$B$1000,MATCH($C445,Clients!$A$5:$A$1000,0)),"Unknown client ID"))</f>
        <v/>
      </c>
      <c r="E445" s="16"/>
      <c r="F445" s="16"/>
      <c r="G445" s="17"/>
      <c r="J445" s="12" t="str">
        <f>IF($A445="","",IF(COUNTIFS(Tasks!$B$5:$B$1000,$A445,Tasks!$A$5:$A$1000,"&lt;&gt;")=0,0,COUNTIFS(Tasks!$B$5:$B$1000,$A445,Tasks!$A$5:$A$1000,"&lt;&gt;",Tasks!$D$5:$D$1000,"Done")/COUNTIFS(Tasks!$B$5:$B$1000,$A445,Tasks!$A$5:$A$1000,"&lt;&gt;")))</f>
        <v/>
      </c>
      <c r="K445" s="11" t="str">
        <f>IF(OR($A445="",$F445=""),"",$F445-Overview!$B$3)</f>
        <v/>
      </c>
    </row>
    <row r="446" spans="4:11" x14ac:dyDescent="0.25">
      <c r="D446" s="18" t="str">
        <f>IF($C446="","",IFERROR(INDEX(Clients!$B$5:$B$1000,MATCH($C446,Clients!$A$5:$A$1000,0)),"Unknown client ID"))</f>
        <v/>
      </c>
      <c r="E446" s="16"/>
      <c r="F446" s="16"/>
      <c r="G446" s="17"/>
      <c r="J446" s="12" t="str">
        <f>IF($A446="","",IF(COUNTIFS(Tasks!$B$5:$B$1000,$A446,Tasks!$A$5:$A$1000,"&lt;&gt;")=0,0,COUNTIFS(Tasks!$B$5:$B$1000,$A446,Tasks!$A$5:$A$1000,"&lt;&gt;",Tasks!$D$5:$D$1000,"Done")/COUNTIFS(Tasks!$B$5:$B$1000,$A446,Tasks!$A$5:$A$1000,"&lt;&gt;")))</f>
        <v/>
      </c>
      <c r="K446" s="11" t="str">
        <f>IF(OR($A446="",$F446=""),"",$F446-Overview!$B$3)</f>
        <v/>
      </c>
    </row>
    <row r="447" spans="4:11" x14ac:dyDescent="0.25">
      <c r="D447" s="18" t="str">
        <f>IF($C447="","",IFERROR(INDEX(Clients!$B$5:$B$1000,MATCH($C447,Clients!$A$5:$A$1000,0)),"Unknown client ID"))</f>
        <v/>
      </c>
      <c r="E447" s="16"/>
      <c r="F447" s="16"/>
      <c r="G447" s="17"/>
      <c r="J447" s="12" t="str">
        <f>IF($A447="","",IF(COUNTIFS(Tasks!$B$5:$B$1000,$A447,Tasks!$A$5:$A$1000,"&lt;&gt;")=0,0,COUNTIFS(Tasks!$B$5:$B$1000,$A447,Tasks!$A$5:$A$1000,"&lt;&gt;",Tasks!$D$5:$D$1000,"Done")/COUNTIFS(Tasks!$B$5:$B$1000,$A447,Tasks!$A$5:$A$1000,"&lt;&gt;")))</f>
        <v/>
      </c>
      <c r="K447" s="11" t="str">
        <f>IF(OR($A447="",$F447=""),"",$F447-Overview!$B$3)</f>
        <v/>
      </c>
    </row>
    <row r="448" spans="4:11" x14ac:dyDescent="0.25">
      <c r="D448" s="18" t="str">
        <f>IF($C448="","",IFERROR(INDEX(Clients!$B$5:$B$1000,MATCH($C448,Clients!$A$5:$A$1000,0)),"Unknown client ID"))</f>
        <v/>
      </c>
      <c r="E448" s="16"/>
      <c r="F448" s="16"/>
      <c r="G448" s="17"/>
      <c r="J448" s="12" t="str">
        <f>IF($A448="","",IF(COUNTIFS(Tasks!$B$5:$B$1000,$A448,Tasks!$A$5:$A$1000,"&lt;&gt;")=0,0,COUNTIFS(Tasks!$B$5:$B$1000,$A448,Tasks!$A$5:$A$1000,"&lt;&gt;",Tasks!$D$5:$D$1000,"Done")/COUNTIFS(Tasks!$B$5:$B$1000,$A448,Tasks!$A$5:$A$1000,"&lt;&gt;")))</f>
        <v/>
      </c>
      <c r="K448" s="11" t="str">
        <f>IF(OR($A448="",$F448=""),"",$F448-Overview!$B$3)</f>
        <v/>
      </c>
    </row>
    <row r="449" spans="4:11" x14ac:dyDescent="0.25">
      <c r="D449" s="18" t="str">
        <f>IF($C449="","",IFERROR(INDEX(Clients!$B$5:$B$1000,MATCH($C449,Clients!$A$5:$A$1000,0)),"Unknown client ID"))</f>
        <v/>
      </c>
      <c r="E449" s="16"/>
      <c r="F449" s="16"/>
      <c r="G449" s="17"/>
      <c r="J449" s="12" t="str">
        <f>IF($A449="","",IF(COUNTIFS(Tasks!$B$5:$B$1000,$A449,Tasks!$A$5:$A$1000,"&lt;&gt;")=0,0,COUNTIFS(Tasks!$B$5:$B$1000,$A449,Tasks!$A$5:$A$1000,"&lt;&gt;",Tasks!$D$5:$D$1000,"Done")/COUNTIFS(Tasks!$B$5:$B$1000,$A449,Tasks!$A$5:$A$1000,"&lt;&gt;")))</f>
        <v/>
      </c>
      <c r="K449" s="11" t="str">
        <f>IF(OR($A449="",$F449=""),"",$F449-Overview!$B$3)</f>
        <v/>
      </c>
    </row>
    <row r="450" spans="4:11" x14ac:dyDescent="0.25">
      <c r="D450" s="18" t="str">
        <f>IF($C450="","",IFERROR(INDEX(Clients!$B$5:$B$1000,MATCH($C450,Clients!$A$5:$A$1000,0)),"Unknown client ID"))</f>
        <v/>
      </c>
      <c r="E450" s="16"/>
      <c r="F450" s="16"/>
      <c r="G450" s="17"/>
      <c r="J450" s="12" t="str">
        <f>IF($A450="","",IF(COUNTIFS(Tasks!$B$5:$B$1000,$A450,Tasks!$A$5:$A$1000,"&lt;&gt;")=0,0,COUNTIFS(Tasks!$B$5:$B$1000,$A450,Tasks!$A$5:$A$1000,"&lt;&gt;",Tasks!$D$5:$D$1000,"Done")/COUNTIFS(Tasks!$B$5:$B$1000,$A450,Tasks!$A$5:$A$1000,"&lt;&gt;")))</f>
        <v/>
      </c>
      <c r="K450" s="11" t="str">
        <f>IF(OR($A450="",$F450=""),"",$F450-Overview!$B$3)</f>
        <v/>
      </c>
    </row>
    <row r="451" spans="4:11" x14ac:dyDescent="0.25">
      <c r="D451" s="18" t="str">
        <f>IF($C451="","",IFERROR(INDEX(Clients!$B$5:$B$1000,MATCH($C451,Clients!$A$5:$A$1000,0)),"Unknown client ID"))</f>
        <v/>
      </c>
      <c r="E451" s="16"/>
      <c r="F451" s="16"/>
      <c r="G451" s="17"/>
      <c r="J451" s="12" t="str">
        <f>IF($A451="","",IF(COUNTIFS(Tasks!$B$5:$B$1000,$A451,Tasks!$A$5:$A$1000,"&lt;&gt;")=0,0,COUNTIFS(Tasks!$B$5:$B$1000,$A451,Tasks!$A$5:$A$1000,"&lt;&gt;",Tasks!$D$5:$D$1000,"Done")/COUNTIFS(Tasks!$B$5:$B$1000,$A451,Tasks!$A$5:$A$1000,"&lt;&gt;")))</f>
        <v/>
      </c>
      <c r="K451" s="11" t="str">
        <f>IF(OR($A451="",$F451=""),"",$F451-Overview!$B$3)</f>
        <v/>
      </c>
    </row>
    <row r="452" spans="4:11" x14ac:dyDescent="0.25">
      <c r="D452" s="18" t="str">
        <f>IF($C452="","",IFERROR(INDEX(Clients!$B$5:$B$1000,MATCH($C452,Clients!$A$5:$A$1000,0)),"Unknown client ID"))</f>
        <v/>
      </c>
      <c r="E452" s="16"/>
      <c r="F452" s="16"/>
      <c r="G452" s="17"/>
      <c r="J452" s="12" t="str">
        <f>IF($A452="","",IF(COUNTIFS(Tasks!$B$5:$B$1000,$A452,Tasks!$A$5:$A$1000,"&lt;&gt;")=0,0,COUNTIFS(Tasks!$B$5:$B$1000,$A452,Tasks!$A$5:$A$1000,"&lt;&gt;",Tasks!$D$5:$D$1000,"Done")/COUNTIFS(Tasks!$B$5:$B$1000,$A452,Tasks!$A$5:$A$1000,"&lt;&gt;")))</f>
        <v/>
      </c>
      <c r="K452" s="11" t="str">
        <f>IF(OR($A452="",$F452=""),"",$F452-Overview!$B$3)</f>
        <v/>
      </c>
    </row>
    <row r="453" spans="4:11" x14ac:dyDescent="0.25">
      <c r="D453" s="18" t="str">
        <f>IF($C453="","",IFERROR(INDEX(Clients!$B$5:$B$1000,MATCH($C453,Clients!$A$5:$A$1000,0)),"Unknown client ID"))</f>
        <v/>
      </c>
      <c r="E453" s="16"/>
      <c r="F453" s="16"/>
      <c r="G453" s="17"/>
      <c r="J453" s="12" t="str">
        <f>IF($A453="","",IF(COUNTIFS(Tasks!$B$5:$B$1000,$A453,Tasks!$A$5:$A$1000,"&lt;&gt;")=0,0,COUNTIFS(Tasks!$B$5:$B$1000,$A453,Tasks!$A$5:$A$1000,"&lt;&gt;",Tasks!$D$5:$D$1000,"Done")/COUNTIFS(Tasks!$B$5:$B$1000,$A453,Tasks!$A$5:$A$1000,"&lt;&gt;")))</f>
        <v/>
      </c>
      <c r="K453" s="11" t="str">
        <f>IF(OR($A453="",$F453=""),"",$F453-Overview!$B$3)</f>
        <v/>
      </c>
    </row>
    <row r="454" spans="4:11" x14ac:dyDescent="0.25">
      <c r="D454" s="18" t="str">
        <f>IF($C454="","",IFERROR(INDEX(Clients!$B$5:$B$1000,MATCH($C454,Clients!$A$5:$A$1000,0)),"Unknown client ID"))</f>
        <v/>
      </c>
      <c r="E454" s="16"/>
      <c r="F454" s="16"/>
      <c r="G454" s="17"/>
      <c r="J454" s="12" t="str">
        <f>IF($A454="","",IF(COUNTIFS(Tasks!$B$5:$B$1000,$A454,Tasks!$A$5:$A$1000,"&lt;&gt;")=0,0,COUNTIFS(Tasks!$B$5:$B$1000,$A454,Tasks!$A$5:$A$1000,"&lt;&gt;",Tasks!$D$5:$D$1000,"Done")/COUNTIFS(Tasks!$B$5:$B$1000,$A454,Tasks!$A$5:$A$1000,"&lt;&gt;")))</f>
        <v/>
      </c>
      <c r="K454" s="11" t="str">
        <f>IF(OR($A454="",$F454=""),"",$F454-Overview!$B$3)</f>
        <v/>
      </c>
    </row>
    <row r="455" spans="4:11" x14ac:dyDescent="0.25">
      <c r="D455" s="18" t="str">
        <f>IF($C455="","",IFERROR(INDEX(Clients!$B$5:$B$1000,MATCH($C455,Clients!$A$5:$A$1000,0)),"Unknown client ID"))</f>
        <v/>
      </c>
      <c r="E455" s="16"/>
      <c r="F455" s="16"/>
      <c r="G455" s="17"/>
      <c r="J455" s="12" t="str">
        <f>IF($A455="","",IF(COUNTIFS(Tasks!$B$5:$B$1000,$A455,Tasks!$A$5:$A$1000,"&lt;&gt;")=0,0,COUNTIFS(Tasks!$B$5:$B$1000,$A455,Tasks!$A$5:$A$1000,"&lt;&gt;",Tasks!$D$5:$D$1000,"Done")/COUNTIFS(Tasks!$B$5:$B$1000,$A455,Tasks!$A$5:$A$1000,"&lt;&gt;")))</f>
        <v/>
      </c>
      <c r="K455" s="11" t="str">
        <f>IF(OR($A455="",$F455=""),"",$F455-Overview!$B$3)</f>
        <v/>
      </c>
    </row>
    <row r="456" spans="4:11" x14ac:dyDescent="0.25">
      <c r="D456" s="18" t="str">
        <f>IF($C456="","",IFERROR(INDEX(Clients!$B$5:$B$1000,MATCH($C456,Clients!$A$5:$A$1000,0)),"Unknown client ID"))</f>
        <v/>
      </c>
      <c r="E456" s="16"/>
      <c r="F456" s="16"/>
      <c r="G456" s="17"/>
      <c r="J456" s="12" t="str">
        <f>IF($A456="","",IF(COUNTIFS(Tasks!$B$5:$B$1000,$A456,Tasks!$A$5:$A$1000,"&lt;&gt;")=0,0,COUNTIFS(Tasks!$B$5:$B$1000,$A456,Tasks!$A$5:$A$1000,"&lt;&gt;",Tasks!$D$5:$D$1000,"Done")/COUNTIFS(Tasks!$B$5:$B$1000,$A456,Tasks!$A$5:$A$1000,"&lt;&gt;")))</f>
        <v/>
      </c>
      <c r="K456" s="11" t="str">
        <f>IF(OR($A456="",$F456=""),"",$F456-Overview!$B$3)</f>
        <v/>
      </c>
    </row>
    <row r="457" spans="4:11" x14ac:dyDescent="0.25">
      <c r="D457" s="18" t="str">
        <f>IF($C457="","",IFERROR(INDEX(Clients!$B$5:$B$1000,MATCH($C457,Clients!$A$5:$A$1000,0)),"Unknown client ID"))</f>
        <v/>
      </c>
      <c r="E457" s="16"/>
      <c r="F457" s="16"/>
      <c r="G457" s="17"/>
      <c r="J457" s="12" t="str">
        <f>IF($A457="","",IF(COUNTIFS(Tasks!$B$5:$B$1000,$A457,Tasks!$A$5:$A$1000,"&lt;&gt;")=0,0,COUNTIFS(Tasks!$B$5:$B$1000,$A457,Tasks!$A$5:$A$1000,"&lt;&gt;",Tasks!$D$5:$D$1000,"Done")/COUNTIFS(Tasks!$B$5:$B$1000,$A457,Tasks!$A$5:$A$1000,"&lt;&gt;")))</f>
        <v/>
      </c>
      <c r="K457" s="11" t="str">
        <f>IF(OR($A457="",$F457=""),"",$F457-Overview!$B$3)</f>
        <v/>
      </c>
    </row>
    <row r="458" spans="4:11" x14ac:dyDescent="0.25">
      <c r="D458" s="18" t="str">
        <f>IF($C458="","",IFERROR(INDEX(Clients!$B$5:$B$1000,MATCH($C458,Clients!$A$5:$A$1000,0)),"Unknown client ID"))</f>
        <v/>
      </c>
      <c r="E458" s="16"/>
      <c r="F458" s="16"/>
      <c r="G458" s="17"/>
      <c r="J458" s="12" t="str">
        <f>IF($A458="","",IF(COUNTIFS(Tasks!$B$5:$B$1000,$A458,Tasks!$A$5:$A$1000,"&lt;&gt;")=0,0,COUNTIFS(Tasks!$B$5:$B$1000,$A458,Tasks!$A$5:$A$1000,"&lt;&gt;",Tasks!$D$5:$D$1000,"Done")/COUNTIFS(Tasks!$B$5:$B$1000,$A458,Tasks!$A$5:$A$1000,"&lt;&gt;")))</f>
        <v/>
      </c>
      <c r="K458" s="11" t="str">
        <f>IF(OR($A458="",$F458=""),"",$F458-Overview!$B$3)</f>
        <v/>
      </c>
    </row>
    <row r="459" spans="4:11" x14ac:dyDescent="0.25">
      <c r="D459" s="18" t="str">
        <f>IF($C459="","",IFERROR(INDEX(Clients!$B$5:$B$1000,MATCH($C459,Clients!$A$5:$A$1000,0)),"Unknown client ID"))</f>
        <v/>
      </c>
      <c r="E459" s="16"/>
      <c r="F459" s="16"/>
      <c r="G459" s="17"/>
      <c r="J459" s="12" t="str">
        <f>IF($A459="","",IF(COUNTIFS(Tasks!$B$5:$B$1000,$A459,Tasks!$A$5:$A$1000,"&lt;&gt;")=0,0,COUNTIFS(Tasks!$B$5:$B$1000,$A459,Tasks!$A$5:$A$1000,"&lt;&gt;",Tasks!$D$5:$D$1000,"Done")/COUNTIFS(Tasks!$B$5:$B$1000,$A459,Tasks!$A$5:$A$1000,"&lt;&gt;")))</f>
        <v/>
      </c>
      <c r="K459" s="11" t="str">
        <f>IF(OR($A459="",$F459=""),"",$F459-Overview!$B$3)</f>
        <v/>
      </c>
    </row>
    <row r="460" spans="4:11" x14ac:dyDescent="0.25">
      <c r="D460" s="18" t="str">
        <f>IF($C460="","",IFERROR(INDEX(Clients!$B$5:$B$1000,MATCH($C460,Clients!$A$5:$A$1000,0)),"Unknown client ID"))</f>
        <v/>
      </c>
      <c r="E460" s="16"/>
      <c r="F460" s="16"/>
      <c r="G460" s="17"/>
      <c r="J460" s="12" t="str">
        <f>IF($A460="","",IF(COUNTIFS(Tasks!$B$5:$B$1000,$A460,Tasks!$A$5:$A$1000,"&lt;&gt;")=0,0,COUNTIFS(Tasks!$B$5:$B$1000,$A460,Tasks!$A$5:$A$1000,"&lt;&gt;",Tasks!$D$5:$D$1000,"Done")/COUNTIFS(Tasks!$B$5:$B$1000,$A460,Tasks!$A$5:$A$1000,"&lt;&gt;")))</f>
        <v/>
      </c>
      <c r="K460" s="11" t="str">
        <f>IF(OR($A460="",$F460=""),"",$F460-Overview!$B$3)</f>
        <v/>
      </c>
    </row>
    <row r="461" spans="4:11" x14ac:dyDescent="0.25">
      <c r="D461" s="18" t="str">
        <f>IF($C461="","",IFERROR(INDEX(Clients!$B$5:$B$1000,MATCH($C461,Clients!$A$5:$A$1000,0)),"Unknown client ID"))</f>
        <v/>
      </c>
      <c r="E461" s="16"/>
      <c r="F461" s="16"/>
      <c r="G461" s="17"/>
      <c r="J461" s="12" t="str">
        <f>IF($A461="","",IF(COUNTIFS(Tasks!$B$5:$B$1000,$A461,Tasks!$A$5:$A$1000,"&lt;&gt;")=0,0,COUNTIFS(Tasks!$B$5:$B$1000,$A461,Tasks!$A$5:$A$1000,"&lt;&gt;",Tasks!$D$5:$D$1000,"Done")/COUNTIFS(Tasks!$B$5:$B$1000,$A461,Tasks!$A$5:$A$1000,"&lt;&gt;")))</f>
        <v/>
      </c>
      <c r="K461" s="11" t="str">
        <f>IF(OR($A461="",$F461=""),"",$F461-Overview!$B$3)</f>
        <v/>
      </c>
    </row>
    <row r="462" spans="4:11" x14ac:dyDescent="0.25">
      <c r="D462" s="18" t="str">
        <f>IF($C462="","",IFERROR(INDEX(Clients!$B$5:$B$1000,MATCH($C462,Clients!$A$5:$A$1000,0)),"Unknown client ID"))</f>
        <v/>
      </c>
      <c r="E462" s="16"/>
      <c r="F462" s="16"/>
      <c r="G462" s="17"/>
      <c r="J462" s="12" t="str">
        <f>IF($A462="","",IF(COUNTIFS(Tasks!$B$5:$B$1000,$A462,Tasks!$A$5:$A$1000,"&lt;&gt;")=0,0,COUNTIFS(Tasks!$B$5:$B$1000,$A462,Tasks!$A$5:$A$1000,"&lt;&gt;",Tasks!$D$5:$D$1000,"Done")/COUNTIFS(Tasks!$B$5:$B$1000,$A462,Tasks!$A$5:$A$1000,"&lt;&gt;")))</f>
        <v/>
      </c>
      <c r="K462" s="11" t="str">
        <f>IF(OR($A462="",$F462=""),"",$F462-Overview!$B$3)</f>
        <v/>
      </c>
    </row>
    <row r="463" spans="4:11" x14ac:dyDescent="0.25">
      <c r="D463" s="18" t="str">
        <f>IF($C463="","",IFERROR(INDEX(Clients!$B$5:$B$1000,MATCH($C463,Clients!$A$5:$A$1000,0)),"Unknown client ID"))</f>
        <v/>
      </c>
      <c r="E463" s="16"/>
      <c r="F463" s="16"/>
      <c r="G463" s="17"/>
      <c r="J463" s="12" t="str">
        <f>IF($A463="","",IF(COUNTIFS(Tasks!$B$5:$B$1000,$A463,Tasks!$A$5:$A$1000,"&lt;&gt;")=0,0,COUNTIFS(Tasks!$B$5:$B$1000,$A463,Tasks!$A$5:$A$1000,"&lt;&gt;",Tasks!$D$5:$D$1000,"Done")/COUNTIFS(Tasks!$B$5:$B$1000,$A463,Tasks!$A$5:$A$1000,"&lt;&gt;")))</f>
        <v/>
      </c>
      <c r="K463" s="11" t="str">
        <f>IF(OR($A463="",$F463=""),"",$F463-Overview!$B$3)</f>
        <v/>
      </c>
    </row>
    <row r="464" spans="4:11" x14ac:dyDescent="0.25">
      <c r="D464" s="18" t="str">
        <f>IF($C464="","",IFERROR(INDEX(Clients!$B$5:$B$1000,MATCH($C464,Clients!$A$5:$A$1000,0)),"Unknown client ID"))</f>
        <v/>
      </c>
      <c r="E464" s="16"/>
      <c r="F464" s="16"/>
      <c r="G464" s="17"/>
      <c r="J464" s="12" t="str">
        <f>IF($A464="","",IF(COUNTIFS(Tasks!$B$5:$B$1000,$A464,Tasks!$A$5:$A$1000,"&lt;&gt;")=0,0,COUNTIFS(Tasks!$B$5:$B$1000,$A464,Tasks!$A$5:$A$1000,"&lt;&gt;",Tasks!$D$5:$D$1000,"Done")/COUNTIFS(Tasks!$B$5:$B$1000,$A464,Tasks!$A$5:$A$1000,"&lt;&gt;")))</f>
        <v/>
      </c>
      <c r="K464" s="11" t="str">
        <f>IF(OR($A464="",$F464=""),"",$F464-Overview!$B$3)</f>
        <v/>
      </c>
    </row>
    <row r="465" spans="4:11" x14ac:dyDescent="0.25">
      <c r="D465" s="18" t="str">
        <f>IF($C465="","",IFERROR(INDEX(Clients!$B$5:$B$1000,MATCH($C465,Clients!$A$5:$A$1000,0)),"Unknown client ID"))</f>
        <v/>
      </c>
      <c r="E465" s="16"/>
      <c r="F465" s="16"/>
      <c r="G465" s="17"/>
      <c r="J465" s="12" t="str">
        <f>IF($A465="","",IF(COUNTIFS(Tasks!$B$5:$B$1000,$A465,Tasks!$A$5:$A$1000,"&lt;&gt;")=0,0,COUNTIFS(Tasks!$B$5:$B$1000,$A465,Tasks!$A$5:$A$1000,"&lt;&gt;",Tasks!$D$5:$D$1000,"Done")/COUNTIFS(Tasks!$B$5:$B$1000,$A465,Tasks!$A$5:$A$1000,"&lt;&gt;")))</f>
        <v/>
      </c>
      <c r="K465" s="11" t="str">
        <f>IF(OR($A465="",$F465=""),"",$F465-Overview!$B$3)</f>
        <v/>
      </c>
    </row>
    <row r="466" spans="4:11" x14ac:dyDescent="0.25">
      <c r="D466" s="18" t="str">
        <f>IF($C466="","",IFERROR(INDEX(Clients!$B$5:$B$1000,MATCH($C466,Clients!$A$5:$A$1000,0)),"Unknown client ID"))</f>
        <v/>
      </c>
      <c r="E466" s="16"/>
      <c r="F466" s="16"/>
      <c r="G466" s="17"/>
      <c r="J466" s="12" t="str">
        <f>IF($A466="","",IF(COUNTIFS(Tasks!$B$5:$B$1000,$A466,Tasks!$A$5:$A$1000,"&lt;&gt;")=0,0,COUNTIFS(Tasks!$B$5:$B$1000,$A466,Tasks!$A$5:$A$1000,"&lt;&gt;",Tasks!$D$5:$D$1000,"Done")/COUNTIFS(Tasks!$B$5:$B$1000,$A466,Tasks!$A$5:$A$1000,"&lt;&gt;")))</f>
        <v/>
      </c>
      <c r="K466" s="11" t="str">
        <f>IF(OR($A466="",$F466=""),"",$F466-Overview!$B$3)</f>
        <v/>
      </c>
    </row>
    <row r="467" spans="4:11" x14ac:dyDescent="0.25">
      <c r="D467" s="18" t="str">
        <f>IF($C467="","",IFERROR(INDEX(Clients!$B$5:$B$1000,MATCH($C467,Clients!$A$5:$A$1000,0)),"Unknown client ID"))</f>
        <v/>
      </c>
      <c r="E467" s="16"/>
      <c r="F467" s="16"/>
      <c r="G467" s="17"/>
      <c r="J467" s="12" t="str">
        <f>IF($A467="","",IF(COUNTIFS(Tasks!$B$5:$B$1000,$A467,Tasks!$A$5:$A$1000,"&lt;&gt;")=0,0,COUNTIFS(Tasks!$B$5:$B$1000,$A467,Tasks!$A$5:$A$1000,"&lt;&gt;",Tasks!$D$5:$D$1000,"Done")/COUNTIFS(Tasks!$B$5:$B$1000,$A467,Tasks!$A$5:$A$1000,"&lt;&gt;")))</f>
        <v/>
      </c>
      <c r="K467" s="11" t="str">
        <f>IF(OR($A467="",$F467=""),"",$F467-Overview!$B$3)</f>
        <v/>
      </c>
    </row>
    <row r="468" spans="4:11" x14ac:dyDescent="0.25">
      <c r="D468" s="18" t="str">
        <f>IF($C468="","",IFERROR(INDEX(Clients!$B$5:$B$1000,MATCH($C468,Clients!$A$5:$A$1000,0)),"Unknown client ID"))</f>
        <v/>
      </c>
      <c r="E468" s="16"/>
      <c r="F468" s="16"/>
      <c r="G468" s="17"/>
      <c r="J468" s="12" t="str">
        <f>IF($A468="","",IF(COUNTIFS(Tasks!$B$5:$B$1000,$A468,Tasks!$A$5:$A$1000,"&lt;&gt;")=0,0,COUNTIFS(Tasks!$B$5:$B$1000,$A468,Tasks!$A$5:$A$1000,"&lt;&gt;",Tasks!$D$5:$D$1000,"Done")/COUNTIFS(Tasks!$B$5:$B$1000,$A468,Tasks!$A$5:$A$1000,"&lt;&gt;")))</f>
        <v/>
      </c>
      <c r="K468" s="11" t="str">
        <f>IF(OR($A468="",$F468=""),"",$F468-Overview!$B$3)</f>
        <v/>
      </c>
    </row>
    <row r="469" spans="4:11" x14ac:dyDescent="0.25">
      <c r="D469" s="18" t="str">
        <f>IF($C469="","",IFERROR(INDEX(Clients!$B$5:$B$1000,MATCH($C469,Clients!$A$5:$A$1000,0)),"Unknown client ID"))</f>
        <v/>
      </c>
      <c r="E469" s="16"/>
      <c r="F469" s="16"/>
      <c r="G469" s="17"/>
      <c r="J469" s="12" t="str">
        <f>IF($A469="","",IF(COUNTIFS(Tasks!$B$5:$B$1000,$A469,Tasks!$A$5:$A$1000,"&lt;&gt;")=0,0,COUNTIFS(Tasks!$B$5:$B$1000,$A469,Tasks!$A$5:$A$1000,"&lt;&gt;",Tasks!$D$5:$D$1000,"Done")/COUNTIFS(Tasks!$B$5:$B$1000,$A469,Tasks!$A$5:$A$1000,"&lt;&gt;")))</f>
        <v/>
      </c>
      <c r="K469" s="11" t="str">
        <f>IF(OR($A469="",$F469=""),"",$F469-Overview!$B$3)</f>
        <v/>
      </c>
    </row>
    <row r="470" spans="4:11" x14ac:dyDescent="0.25">
      <c r="D470" s="18" t="str">
        <f>IF($C470="","",IFERROR(INDEX(Clients!$B$5:$B$1000,MATCH($C470,Clients!$A$5:$A$1000,0)),"Unknown client ID"))</f>
        <v/>
      </c>
      <c r="E470" s="16"/>
      <c r="F470" s="16"/>
      <c r="G470" s="17"/>
      <c r="J470" s="12" t="str">
        <f>IF($A470="","",IF(COUNTIFS(Tasks!$B$5:$B$1000,$A470,Tasks!$A$5:$A$1000,"&lt;&gt;")=0,0,COUNTIFS(Tasks!$B$5:$B$1000,$A470,Tasks!$A$5:$A$1000,"&lt;&gt;",Tasks!$D$5:$D$1000,"Done")/COUNTIFS(Tasks!$B$5:$B$1000,$A470,Tasks!$A$5:$A$1000,"&lt;&gt;")))</f>
        <v/>
      </c>
      <c r="K470" s="11" t="str">
        <f>IF(OR($A470="",$F470=""),"",$F470-Overview!$B$3)</f>
        <v/>
      </c>
    </row>
    <row r="471" spans="4:11" x14ac:dyDescent="0.25">
      <c r="D471" s="18" t="str">
        <f>IF($C471="","",IFERROR(INDEX(Clients!$B$5:$B$1000,MATCH($C471,Clients!$A$5:$A$1000,0)),"Unknown client ID"))</f>
        <v/>
      </c>
      <c r="E471" s="16"/>
      <c r="F471" s="16"/>
      <c r="G471" s="17"/>
      <c r="J471" s="12" t="str">
        <f>IF($A471="","",IF(COUNTIFS(Tasks!$B$5:$B$1000,$A471,Tasks!$A$5:$A$1000,"&lt;&gt;")=0,0,COUNTIFS(Tasks!$B$5:$B$1000,$A471,Tasks!$A$5:$A$1000,"&lt;&gt;",Tasks!$D$5:$D$1000,"Done")/COUNTIFS(Tasks!$B$5:$B$1000,$A471,Tasks!$A$5:$A$1000,"&lt;&gt;")))</f>
        <v/>
      </c>
      <c r="K471" s="11" t="str">
        <f>IF(OR($A471="",$F471=""),"",$F471-Overview!$B$3)</f>
        <v/>
      </c>
    </row>
    <row r="472" spans="4:11" x14ac:dyDescent="0.25">
      <c r="D472" s="18" t="str">
        <f>IF($C472="","",IFERROR(INDEX(Clients!$B$5:$B$1000,MATCH($C472,Clients!$A$5:$A$1000,0)),"Unknown client ID"))</f>
        <v/>
      </c>
      <c r="E472" s="16"/>
      <c r="F472" s="16"/>
      <c r="G472" s="17"/>
      <c r="J472" s="12" t="str">
        <f>IF($A472="","",IF(COUNTIFS(Tasks!$B$5:$B$1000,$A472,Tasks!$A$5:$A$1000,"&lt;&gt;")=0,0,COUNTIFS(Tasks!$B$5:$B$1000,$A472,Tasks!$A$5:$A$1000,"&lt;&gt;",Tasks!$D$5:$D$1000,"Done")/COUNTIFS(Tasks!$B$5:$B$1000,$A472,Tasks!$A$5:$A$1000,"&lt;&gt;")))</f>
        <v/>
      </c>
      <c r="K472" s="11" t="str">
        <f>IF(OR($A472="",$F472=""),"",$F472-Overview!$B$3)</f>
        <v/>
      </c>
    </row>
    <row r="473" spans="4:11" x14ac:dyDescent="0.25">
      <c r="D473" s="18" t="str">
        <f>IF($C473="","",IFERROR(INDEX(Clients!$B$5:$B$1000,MATCH($C473,Clients!$A$5:$A$1000,0)),"Unknown client ID"))</f>
        <v/>
      </c>
      <c r="E473" s="16"/>
      <c r="F473" s="16"/>
      <c r="G473" s="17"/>
      <c r="J473" s="12" t="str">
        <f>IF($A473="","",IF(COUNTIFS(Tasks!$B$5:$B$1000,$A473,Tasks!$A$5:$A$1000,"&lt;&gt;")=0,0,COUNTIFS(Tasks!$B$5:$B$1000,$A473,Tasks!$A$5:$A$1000,"&lt;&gt;",Tasks!$D$5:$D$1000,"Done")/COUNTIFS(Tasks!$B$5:$B$1000,$A473,Tasks!$A$5:$A$1000,"&lt;&gt;")))</f>
        <v/>
      </c>
      <c r="K473" s="11" t="str">
        <f>IF(OR($A473="",$F473=""),"",$F473-Overview!$B$3)</f>
        <v/>
      </c>
    </row>
    <row r="474" spans="4:11" x14ac:dyDescent="0.25">
      <c r="D474" s="18" t="str">
        <f>IF($C474="","",IFERROR(INDEX(Clients!$B$5:$B$1000,MATCH($C474,Clients!$A$5:$A$1000,0)),"Unknown client ID"))</f>
        <v/>
      </c>
      <c r="E474" s="16"/>
      <c r="F474" s="16"/>
      <c r="G474" s="17"/>
      <c r="J474" s="12" t="str">
        <f>IF($A474="","",IF(COUNTIFS(Tasks!$B$5:$B$1000,$A474,Tasks!$A$5:$A$1000,"&lt;&gt;")=0,0,COUNTIFS(Tasks!$B$5:$B$1000,$A474,Tasks!$A$5:$A$1000,"&lt;&gt;",Tasks!$D$5:$D$1000,"Done")/COUNTIFS(Tasks!$B$5:$B$1000,$A474,Tasks!$A$5:$A$1000,"&lt;&gt;")))</f>
        <v/>
      </c>
      <c r="K474" s="11" t="str">
        <f>IF(OR($A474="",$F474=""),"",$F474-Overview!$B$3)</f>
        <v/>
      </c>
    </row>
    <row r="475" spans="4:11" x14ac:dyDescent="0.25">
      <c r="D475" s="18" t="str">
        <f>IF($C475="","",IFERROR(INDEX(Clients!$B$5:$B$1000,MATCH($C475,Clients!$A$5:$A$1000,0)),"Unknown client ID"))</f>
        <v/>
      </c>
      <c r="E475" s="16"/>
      <c r="F475" s="16"/>
      <c r="G475" s="17"/>
      <c r="J475" s="12" t="str">
        <f>IF($A475="","",IF(COUNTIFS(Tasks!$B$5:$B$1000,$A475,Tasks!$A$5:$A$1000,"&lt;&gt;")=0,0,COUNTIFS(Tasks!$B$5:$B$1000,$A475,Tasks!$A$5:$A$1000,"&lt;&gt;",Tasks!$D$5:$D$1000,"Done")/COUNTIFS(Tasks!$B$5:$B$1000,$A475,Tasks!$A$5:$A$1000,"&lt;&gt;")))</f>
        <v/>
      </c>
      <c r="K475" s="11" t="str">
        <f>IF(OR($A475="",$F475=""),"",$F475-Overview!$B$3)</f>
        <v/>
      </c>
    </row>
    <row r="476" spans="4:11" x14ac:dyDescent="0.25">
      <c r="D476" s="18" t="str">
        <f>IF($C476="","",IFERROR(INDEX(Clients!$B$5:$B$1000,MATCH($C476,Clients!$A$5:$A$1000,0)),"Unknown client ID"))</f>
        <v/>
      </c>
      <c r="E476" s="16"/>
      <c r="F476" s="16"/>
      <c r="G476" s="17"/>
      <c r="J476" s="12" t="str">
        <f>IF($A476="","",IF(COUNTIFS(Tasks!$B$5:$B$1000,$A476,Tasks!$A$5:$A$1000,"&lt;&gt;")=0,0,COUNTIFS(Tasks!$B$5:$B$1000,$A476,Tasks!$A$5:$A$1000,"&lt;&gt;",Tasks!$D$5:$D$1000,"Done")/COUNTIFS(Tasks!$B$5:$B$1000,$A476,Tasks!$A$5:$A$1000,"&lt;&gt;")))</f>
        <v/>
      </c>
      <c r="K476" s="11" t="str">
        <f>IF(OR($A476="",$F476=""),"",$F476-Overview!$B$3)</f>
        <v/>
      </c>
    </row>
    <row r="477" spans="4:11" x14ac:dyDescent="0.25">
      <c r="D477" s="18" t="str">
        <f>IF($C477="","",IFERROR(INDEX(Clients!$B$5:$B$1000,MATCH($C477,Clients!$A$5:$A$1000,0)),"Unknown client ID"))</f>
        <v/>
      </c>
      <c r="E477" s="16"/>
      <c r="F477" s="16"/>
      <c r="G477" s="17"/>
      <c r="J477" s="12" t="str">
        <f>IF($A477="","",IF(COUNTIFS(Tasks!$B$5:$B$1000,$A477,Tasks!$A$5:$A$1000,"&lt;&gt;")=0,0,COUNTIFS(Tasks!$B$5:$B$1000,$A477,Tasks!$A$5:$A$1000,"&lt;&gt;",Tasks!$D$5:$D$1000,"Done")/COUNTIFS(Tasks!$B$5:$B$1000,$A477,Tasks!$A$5:$A$1000,"&lt;&gt;")))</f>
        <v/>
      </c>
      <c r="K477" s="11" t="str">
        <f>IF(OR($A477="",$F477=""),"",$F477-Overview!$B$3)</f>
        <v/>
      </c>
    </row>
    <row r="478" spans="4:11" x14ac:dyDescent="0.25">
      <c r="D478" s="18" t="str">
        <f>IF($C478="","",IFERROR(INDEX(Clients!$B$5:$B$1000,MATCH($C478,Clients!$A$5:$A$1000,0)),"Unknown client ID"))</f>
        <v/>
      </c>
      <c r="E478" s="16"/>
      <c r="F478" s="16"/>
      <c r="G478" s="17"/>
      <c r="J478" s="12" t="str">
        <f>IF($A478="","",IF(COUNTIFS(Tasks!$B$5:$B$1000,$A478,Tasks!$A$5:$A$1000,"&lt;&gt;")=0,0,COUNTIFS(Tasks!$B$5:$B$1000,$A478,Tasks!$A$5:$A$1000,"&lt;&gt;",Tasks!$D$5:$D$1000,"Done")/COUNTIFS(Tasks!$B$5:$B$1000,$A478,Tasks!$A$5:$A$1000,"&lt;&gt;")))</f>
        <v/>
      </c>
      <c r="K478" s="11" t="str">
        <f>IF(OR($A478="",$F478=""),"",$F478-Overview!$B$3)</f>
        <v/>
      </c>
    </row>
    <row r="479" spans="4:11" x14ac:dyDescent="0.25">
      <c r="D479" s="18" t="str">
        <f>IF($C479="","",IFERROR(INDEX(Clients!$B$5:$B$1000,MATCH($C479,Clients!$A$5:$A$1000,0)),"Unknown client ID"))</f>
        <v/>
      </c>
      <c r="E479" s="16"/>
      <c r="F479" s="16"/>
      <c r="G479" s="17"/>
      <c r="J479" s="12" t="str">
        <f>IF($A479="","",IF(COUNTIFS(Tasks!$B$5:$B$1000,$A479,Tasks!$A$5:$A$1000,"&lt;&gt;")=0,0,COUNTIFS(Tasks!$B$5:$B$1000,$A479,Tasks!$A$5:$A$1000,"&lt;&gt;",Tasks!$D$5:$D$1000,"Done")/COUNTIFS(Tasks!$B$5:$B$1000,$A479,Tasks!$A$5:$A$1000,"&lt;&gt;")))</f>
        <v/>
      </c>
      <c r="K479" s="11" t="str">
        <f>IF(OR($A479="",$F479=""),"",$F479-Overview!$B$3)</f>
        <v/>
      </c>
    </row>
    <row r="480" spans="4:11" x14ac:dyDescent="0.25">
      <c r="D480" s="18" t="str">
        <f>IF($C480="","",IFERROR(INDEX(Clients!$B$5:$B$1000,MATCH($C480,Clients!$A$5:$A$1000,0)),"Unknown client ID"))</f>
        <v/>
      </c>
      <c r="E480" s="16"/>
      <c r="F480" s="16"/>
      <c r="G480" s="17"/>
      <c r="J480" s="12" t="str">
        <f>IF($A480="","",IF(COUNTIFS(Tasks!$B$5:$B$1000,$A480,Tasks!$A$5:$A$1000,"&lt;&gt;")=0,0,COUNTIFS(Tasks!$B$5:$B$1000,$A480,Tasks!$A$5:$A$1000,"&lt;&gt;",Tasks!$D$5:$D$1000,"Done")/COUNTIFS(Tasks!$B$5:$B$1000,$A480,Tasks!$A$5:$A$1000,"&lt;&gt;")))</f>
        <v/>
      </c>
      <c r="K480" s="11" t="str">
        <f>IF(OR($A480="",$F480=""),"",$F480-Overview!$B$3)</f>
        <v/>
      </c>
    </row>
    <row r="481" spans="4:11" x14ac:dyDescent="0.25">
      <c r="D481" s="18" t="str">
        <f>IF($C481="","",IFERROR(INDEX(Clients!$B$5:$B$1000,MATCH($C481,Clients!$A$5:$A$1000,0)),"Unknown client ID"))</f>
        <v/>
      </c>
      <c r="E481" s="16"/>
      <c r="F481" s="16"/>
      <c r="G481" s="17"/>
      <c r="J481" s="12" t="str">
        <f>IF($A481="","",IF(COUNTIFS(Tasks!$B$5:$B$1000,$A481,Tasks!$A$5:$A$1000,"&lt;&gt;")=0,0,COUNTIFS(Tasks!$B$5:$B$1000,$A481,Tasks!$A$5:$A$1000,"&lt;&gt;",Tasks!$D$5:$D$1000,"Done")/COUNTIFS(Tasks!$B$5:$B$1000,$A481,Tasks!$A$5:$A$1000,"&lt;&gt;")))</f>
        <v/>
      </c>
      <c r="K481" s="11" t="str">
        <f>IF(OR($A481="",$F481=""),"",$F481-Overview!$B$3)</f>
        <v/>
      </c>
    </row>
    <row r="482" spans="4:11" x14ac:dyDescent="0.25">
      <c r="D482" s="18" t="str">
        <f>IF($C482="","",IFERROR(INDEX(Clients!$B$5:$B$1000,MATCH($C482,Clients!$A$5:$A$1000,0)),"Unknown client ID"))</f>
        <v/>
      </c>
      <c r="E482" s="16"/>
      <c r="F482" s="16"/>
      <c r="G482" s="17"/>
      <c r="J482" s="12" t="str">
        <f>IF($A482="","",IF(COUNTIFS(Tasks!$B$5:$B$1000,$A482,Tasks!$A$5:$A$1000,"&lt;&gt;")=0,0,COUNTIFS(Tasks!$B$5:$B$1000,$A482,Tasks!$A$5:$A$1000,"&lt;&gt;",Tasks!$D$5:$D$1000,"Done")/COUNTIFS(Tasks!$B$5:$B$1000,$A482,Tasks!$A$5:$A$1000,"&lt;&gt;")))</f>
        <v/>
      </c>
      <c r="K482" s="11" t="str">
        <f>IF(OR($A482="",$F482=""),"",$F482-Overview!$B$3)</f>
        <v/>
      </c>
    </row>
    <row r="483" spans="4:11" x14ac:dyDescent="0.25">
      <c r="D483" s="18" t="str">
        <f>IF($C483="","",IFERROR(INDEX(Clients!$B$5:$B$1000,MATCH($C483,Clients!$A$5:$A$1000,0)),"Unknown client ID"))</f>
        <v/>
      </c>
      <c r="E483" s="16"/>
      <c r="F483" s="16"/>
      <c r="G483" s="17"/>
      <c r="J483" s="12" t="str">
        <f>IF($A483="","",IF(COUNTIFS(Tasks!$B$5:$B$1000,$A483,Tasks!$A$5:$A$1000,"&lt;&gt;")=0,0,COUNTIFS(Tasks!$B$5:$B$1000,$A483,Tasks!$A$5:$A$1000,"&lt;&gt;",Tasks!$D$5:$D$1000,"Done")/COUNTIFS(Tasks!$B$5:$B$1000,$A483,Tasks!$A$5:$A$1000,"&lt;&gt;")))</f>
        <v/>
      </c>
      <c r="K483" s="11" t="str">
        <f>IF(OR($A483="",$F483=""),"",$F483-Overview!$B$3)</f>
        <v/>
      </c>
    </row>
    <row r="484" spans="4:11" x14ac:dyDescent="0.25">
      <c r="D484" s="18" t="str">
        <f>IF($C484="","",IFERROR(INDEX(Clients!$B$5:$B$1000,MATCH($C484,Clients!$A$5:$A$1000,0)),"Unknown client ID"))</f>
        <v/>
      </c>
      <c r="E484" s="16"/>
      <c r="F484" s="16"/>
      <c r="G484" s="17"/>
      <c r="J484" s="12" t="str">
        <f>IF($A484="","",IF(COUNTIFS(Tasks!$B$5:$B$1000,$A484,Tasks!$A$5:$A$1000,"&lt;&gt;")=0,0,COUNTIFS(Tasks!$B$5:$B$1000,$A484,Tasks!$A$5:$A$1000,"&lt;&gt;",Tasks!$D$5:$D$1000,"Done")/COUNTIFS(Tasks!$B$5:$B$1000,$A484,Tasks!$A$5:$A$1000,"&lt;&gt;")))</f>
        <v/>
      </c>
      <c r="K484" s="11" t="str">
        <f>IF(OR($A484="",$F484=""),"",$F484-Overview!$B$3)</f>
        <v/>
      </c>
    </row>
    <row r="485" spans="4:11" x14ac:dyDescent="0.25">
      <c r="D485" s="18" t="str">
        <f>IF($C485="","",IFERROR(INDEX(Clients!$B$5:$B$1000,MATCH($C485,Clients!$A$5:$A$1000,0)),"Unknown client ID"))</f>
        <v/>
      </c>
      <c r="E485" s="16"/>
      <c r="F485" s="16"/>
      <c r="G485" s="17"/>
      <c r="J485" s="12" t="str">
        <f>IF($A485="","",IF(COUNTIFS(Tasks!$B$5:$B$1000,$A485,Tasks!$A$5:$A$1000,"&lt;&gt;")=0,0,COUNTIFS(Tasks!$B$5:$B$1000,$A485,Tasks!$A$5:$A$1000,"&lt;&gt;",Tasks!$D$5:$D$1000,"Done")/COUNTIFS(Tasks!$B$5:$B$1000,$A485,Tasks!$A$5:$A$1000,"&lt;&gt;")))</f>
        <v/>
      </c>
      <c r="K485" s="11" t="str">
        <f>IF(OR($A485="",$F485=""),"",$F485-Overview!$B$3)</f>
        <v/>
      </c>
    </row>
    <row r="486" spans="4:11" x14ac:dyDescent="0.25">
      <c r="D486" s="18" t="str">
        <f>IF($C486="","",IFERROR(INDEX(Clients!$B$5:$B$1000,MATCH($C486,Clients!$A$5:$A$1000,0)),"Unknown client ID"))</f>
        <v/>
      </c>
      <c r="E486" s="16"/>
      <c r="F486" s="16"/>
      <c r="G486" s="17"/>
      <c r="J486" s="12" t="str">
        <f>IF($A486="","",IF(COUNTIFS(Tasks!$B$5:$B$1000,$A486,Tasks!$A$5:$A$1000,"&lt;&gt;")=0,0,COUNTIFS(Tasks!$B$5:$B$1000,$A486,Tasks!$A$5:$A$1000,"&lt;&gt;",Tasks!$D$5:$D$1000,"Done")/COUNTIFS(Tasks!$B$5:$B$1000,$A486,Tasks!$A$5:$A$1000,"&lt;&gt;")))</f>
        <v/>
      </c>
      <c r="K486" s="11" t="str">
        <f>IF(OR($A486="",$F486=""),"",$F486-Overview!$B$3)</f>
        <v/>
      </c>
    </row>
    <row r="487" spans="4:11" x14ac:dyDescent="0.25">
      <c r="D487" s="18" t="str">
        <f>IF($C487="","",IFERROR(INDEX(Clients!$B$5:$B$1000,MATCH($C487,Clients!$A$5:$A$1000,0)),"Unknown client ID"))</f>
        <v/>
      </c>
      <c r="E487" s="16"/>
      <c r="F487" s="16"/>
      <c r="G487" s="17"/>
      <c r="J487" s="12" t="str">
        <f>IF($A487="","",IF(COUNTIFS(Tasks!$B$5:$B$1000,$A487,Tasks!$A$5:$A$1000,"&lt;&gt;")=0,0,COUNTIFS(Tasks!$B$5:$B$1000,$A487,Tasks!$A$5:$A$1000,"&lt;&gt;",Tasks!$D$5:$D$1000,"Done")/COUNTIFS(Tasks!$B$5:$B$1000,$A487,Tasks!$A$5:$A$1000,"&lt;&gt;")))</f>
        <v/>
      </c>
      <c r="K487" s="11" t="str">
        <f>IF(OR($A487="",$F487=""),"",$F487-Overview!$B$3)</f>
        <v/>
      </c>
    </row>
    <row r="488" spans="4:11" x14ac:dyDescent="0.25">
      <c r="D488" s="18" t="str">
        <f>IF($C488="","",IFERROR(INDEX(Clients!$B$5:$B$1000,MATCH($C488,Clients!$A$5:$A$1000,0)),"Unknown client ID"))</f>
        <v/>
      </c>
      <c r="E488" s="16"/>
      <c r="F488" s="16"/>
      <c r="G488" s="17"/>
      <c r="J488" s="12" t="str">
        <f>IF($A488="","",IF(COUNTIFS(Tasks!$B$5:$B$1000,$A488,Tasks!$A$5:$A$1000,"&lt;&gt;")=0,0,COUNTIFS(Tasks!$B$5:$B$1000,$A488,Tasks!$A$5:$A$1000,"&lt;&gt;",Tasks!$D$5:$D$1000,"Done")/COUNTIFS(Tasks!$B$5:$B$1000,$A488,Tasks!$A$5:$A$1000,"&lt;&gt;")))</f>
        <v/>
      </c>
      <c r="K488" s="11" t="str">
        <f>IF(OR($A488="",$F488=""),"",$F488-Overview!$B$3)</f>
        <v/>
      </c>
    </row>
    <row r="489" spans="4:11" x14ac:dyDescent="0.25">
      <c r="D489" s="18" t="str">
        <f>IF($C489="","",IFERROR(INDEX(Clients!$B$5:$B$1000,MATCH($C489,Clients!$A$5:$A$1000,0)),"Unknown client ID"))</f>
        <v/>
      </c>
      <c r="E489" s="16"/>
      <c r="F489" s="16"/>
      <c r="G489" s="17"/>
      <c r="J489" s="12" t="str">
        <f>IF($A489="","",IF(COUNTIFS(Tasks!$B$5:$B$1000,$A489,Tasks!$A$5:$A$1000,"&lt;&gt;")=0,0,COUNTIFS(Tasks!$B$5:$B$1000,$A489,Tasks!$A$5:$A$1000,"&lt;&gt;",Tasks!$D$5:$D$1000,"Done")/COUNTIFS(Tasks!$B$5:$B$1000,$A489,Tasks!$A$5:$A$1000,"&lt;&gt;")))</f>
        <v/>
      </c>
      <c r="K489" s="11" t="str">
        <f>IF(OR($A489="",$F489=""),"",$F489-Overview!$B$3)</f>
        <v/>
      </c>
    </row>
    <row r="490" spans="4:11" x14ac:dyDescent="0.25">
      <c r="D490" s="18" t="str">
        <f>IF($C490="","",IFERROR(INDEX(Clients!$B$5:$B$1000,MATCH($C490,Clients!$A$5:$A$1000,0)),"Unknown client ID"))</f>
        <v/>
      </c>
      <c r="E490" s="16"/>
      <c r="F490" s="16"/>
      <c r="G490" s="17"/>
      <c r="J490" s="12" t="str">
        <f>IF($A490="","",IF(COUNTIFS(Tasks!$B$5:$B$1000,$A490,Tasks!$A$5:$A$1000,"&lt;&gt;")=0,0,COUNTIFS(Tasks!$B$5:$B$1000,$A490,Tasks!$A$5:$A$1000,"&lt;&gt;",Tasks!$D$5:$D$1000,"Done")/COUNTIFS(Tasks!$B$5:$B$1000,$A490,Tasks!$A$5:$A$1000,"&lt;&gt;")))</f>
        <v/>
      </c>
      <c r="K490" s="11" t="str">
        <f>IF(OR($A490="",$F490=""),"",$F490-Overview!$B$3)</f>
        <v/>
      </c>
    </row>
    <row r="491" spans="4:11" x14ac:dyDescent="0.25">
      <c r="D491" s="18" t="str">
        <f>IF($C491="","",IFERROR(INDEX(Clients!$B$5:$B$1000,MATCH($C491,Clients!$A$5:$A$1000,0)),"Unknown client ID"))</f>
        <v/>
      </c>
      <c r="E491" s="16"/>
      <c r="F491" s="16"/>
      <c r="G491" s="17"/>
      <c r="J491" s="12" t="str">
        <f>IF($A491="","",IF(COUNTIFS(Tasks!$B$5:$B$1000,$A491,Tasks!$A$5:$A$1000,"&lt;&gt;")=0,0,COUNTIFS(Tasks!$B$5:$B$1000,$A491,Tasks!$A$5:$A$1000,"&lt;&gt;",Tasks!$D$5:$D$1000,"Done")/COUNTIFS(Tasks!$B$5:$B$1000,$A491,Tasks!$A$5:$A$1000,"&lt;&gt;")))</f>
        <v/>
      </c>
      <c r="K491" s="11" t="str">
        <f>IF(OR($A491="",$F491=""),"",$F491-Overview!$B$3)</f>
        <v/>
      </c>
    </row>
    <row r="492" spans="4:11" x14ac:dyDescent="0.25">
      <c r="D492" s="18" t="str">
        <f>IF($C492="","",IFERROR(INDEX(Clients!$B$5:$B$1000,MATCH($C492,Clients!$A$5:$A$1000,0)),"Unknown client ID"))</f>
        <v/>
      </c>
      <c r="E492" s="16"/>
      <c r="F492" s="16"/>
      <c r="G492" s="17"/>
      <c r="J492" s="12" t="str">
        <f>IF($A492="","",IF(COUNTIFS(Tasks!$B$5:$B$1000,$A492,Tasks!$A$5:$A$1000,"&lt;&gt;")=0,0,COUNTIFS(Tasks!$B$5:$B$1000,$A492,Tasks!$A$5:$A$1000,"&lt;&gt;",Tasks!$D$5:$D$1000,"Done")/COUNTIFS(Tasks!$B$5:$B$1000,$A492,Tasks!$A$5:$A$1000,"&lt;&gt;")))</f>
        <v/>
      </c>
      <c r="K492" s="11" t="str">
        <f>IF(OR($A492="",$F492=""),"",$F492-Overview!$B$3)</f>
        <v/>
      </c>
    </row>
    <row r="493" spans="4:11" x14ac:dyDescent="0.25">
      <c r="D493" s="18" t="str">
        <f>IF($C493="","",IFERROR(INDEX(Clients!$B$5:$B$1000,MATCH($C493,Clients!$A$5:$A$1000,0)),"Unknown client ID"))</f>
        <v/>
      </c>
      <c r="E493" s="16"/>
      <c r="F493" s="16"/>
      <c r="G493" s="17"/>
      <c r="J493" s="12" t="str">
        <f>IF($A493="","",IF(COUNTIFS(Tasks!$B$5:$B$1000,$A493,Tasks!$A$5:$A$1000,"&lt;&gt;")=0,0,COUNTIFS(Tasks!$B$5:$B$1000,$A493,Tasks!$A$5:$A$1000,"&lt;&gt;",Tasks!$D$5:$D$1000,"Done")/COUNTIFS(Tasks!$B$5:$B$1000,$A493,Tasks!$A$5:$A$1000,"&lt;&gt;")))</f>
        <v/>
      </c>
      <c r="K493" s="11" t="str">
        <f>IF(OR($A493="",$F493=""),"",$F493-Overview!$B$3)</f>
        <v/>
      </c>
    </row>
    <row r="494" spans="4:11" x14ac:dyDescent="0.25">
      <c r="D494" s="18" t="str">
        <f>IF($C494="","",IFERROR(INDEX(Clients!$B$5:$B$1000,MATCH($C494,Clients!$A$5:$A$1000,0)),"Unknown client ID"))</f>
        <v/>
      </c>
      <c r="E494" s="16"/>
      <c r="F494" s="16"/>
      <c r="G494" s="17"/>
      <c r="J494" s="12" t="str">
        <f>IF($A494="","",IF(COUNTIFS(Tasks!$B$5:$B$1000,$A494,Tasks!$A$5:$A$1000,"&lt;&gt;")=0,0,COUNTIFS(Tasks!$B$5:$B$1000,$A494,Tasks!$A$5:$A$1000,"&lt;&gt;",Tasks!$D$5:$D$1000,"Done")/COUNTIFS(Tasks!$B$5:$B$1000,$A494,Tasks!$A$5:$A$1000,"&lt;&gt;")))</f>
        <v/>
      </c>
      <c r="K494" s="11" t="str">
        <f>IF(OR($A494="",$F494=""),"",$F494-Overview!$B$3)</f>
        <v/>
      </c>
    </row>
    <row r="495" spans="4:11" x14ac:dyDescent="0.25">
      <c r="D495" s="18" t="str">
        <f>IF($C495="","",IFERROR(INDEX(Clients!$B$5:$B$1000,MATCH($C495,Clients!$A$5:$A$1000,0)),"Unknown client ID"))</f>
        <v/>
      </c>
      <c r="E495" s="16"/>
      <c r="F495" s="16"/>
      <c r="G495" s="17"/>
      <c r="J495" s="12" t="str">
        <f>IF($A495="","",IF(COUNTIFS(Tasks!$B$5:$B$1000,$A495,Tasks!$A$5:$A$1000,"&lt;&gt;")=0,0,COUNTIFS(Tasks!$B$5:$B$1000,$A495,Tasks!$A$5:$A$1000,"&lt;&gt;",Tasks!$D$5:$D$1000,"Done")/COUNTIFS(Tasks!$B$5:$B$1000,$A495,Tasks!$A$5:$A$1000,"&lt;&gt;")))</f>
        <v/>
      </c>
      <c r="K495" s="11" t="str">
        <f>IF(OR($A495="",$F495=""),"",$F495-Overview!$B$3)</f>
        <v/>
      </c>
    </row>
    <row r="496" spans="4:11" x14ac:dyDescent="0.25">
      <c r="D496" s="18" t="str">
        <f>IF($C496="","",IFERROR(INDEX(Clients!$B$5:$B$1000,MATCH($C496,Clients!$A$5:$A$1000,0)),"Unknown client ID"))</f>
        <v/>
      </c>
      <c r="E496" s="16"/>
      <c r="F496" s="16"/>
      <c r="G496" s="17"/>
      <c r="J496" s="12" t="str">
        <f>IF($A496="","",IF(COUNTIFS(Tasks!$B$5:$B$1000,$A496,Tasks!$A$5:$A$1000,"&lt;&gt;")=0,0,COUNTIFS(Tasks!$B$5:$B$1000,$A496,Tasks!$A$5:$A$1000,"&lt;&gt;",Tasks!$D$5:$D$1000,"Done")/COUNTIFS(Tasks!$B$5:$B$1000,$A496,Tasks!$A$5:$A$1000,"&lt;&gt;")))</f>
        <v/>
      </c>
      <c r="K496" s="11" t="str">
        <f>IF(OR($A496="",$F496=""),"",$F496-Overview!$B$3)</f>
        <v/>
      </c>
    </row>
    <row r="497" spans="4:11" x14ac:dyDescent="0.25">
      <c r="D497" s="18" t="str">
        <f>IF($C497="","",IFERROR(INDEX(Clients!$B$5:$B$1000,MATCH($C497,Clients!$A$5:$A$1000,0)),"Unknown client ID"))</f>
        <v/>
      </c>
      <c r="E497" s="16"/>
      <c r="F497" s="16"/>
      <c r="G497" s="17"/>
      <c r="J497" s="12" t="str">
        <f>IF($A497="","",IF(COUNTIFS(Tasks!$B$5:$B$1000,$A497,Tasks!$A$5:$A$1000,"&lt;&gt;")=0,0,COUNTIFS(Tasks!$B$5:$B$1000,$A497,Tasks!$A$5:$A$1000,"&lt;&gt;",Tasks!$D$5:$D$1000,"Done")/COUNTIFS(Tasks!$B$5:$B$1000,$A497,Tasks!$A$5:$A$1000,"&lt;&gt;")))</f>
        <v/>
      </c>
      <c r="K497" s="11" t="str">
        <f>IF(OR($A497="",$F497=""),"",$F497-Overview!$B$3)</f>
        <v/>
      </c>
    </row>
    <row r="498" spans="4:11" x14ac:dyDescent="0.25">
      <c r="D498" s="18" t="str">
        <f>IF($C498="","",IFERROR(INDEX(Clients!$B$5:$B$1000,MATCH($C498,Clients!$A$5:$A$1000,0)),"Unknown client ID"))</f>
        <v/>
      </c>
      <c r="E498" s="16"/>
      <c r="F498" s="16"/>
      <c r="G498" s="17"/>
      <c r="J498" s="12" t="str">
        <f>IF($A498="","",IF(COUNTIFS(Tasks!$B$5:$B$1000,$A498,Tasks!$A$5:$A$1000,"&lt;&gt;")=0,0,COUNTIFS(Tasks!$B$5:$B$1000,$A498,Tasks!$A$5:$A$1000,"&lt;&gt;",Tasks!$D$5:$D$1000,"Done")/COUNTIFS(Tasks!$B$5:$B$1000,$A498,Tasks!$A$5:$A$1000,"&lt;&gt;")))</f>
        <v/>
      </c>
      <c r="K498" s="11" t="str">
        <f>IF(OR($A498="",$F498=""),"",$F498-Overview!$B$3)</f>
        <v/>
      </c>
    </row>
    <row r="499" spans="4:11" x14ac:dyDescent="0.25">
      <c r="D499" s="18" t="str">
        <f>IF($C499="","",IFERROR(INDEX(Clients!$B$5:$B$1000,MATCH($C499,Clients!$A$5:$A$1000,0)),"Unknown client ID"))</f>
        <v/>
      </c>
      <c r="E499" s="16"/>
      <c r="F499" s="16"/>
      <c r="G499" s="17"/>
      <c r="J499" s="12" t="str">
        <f>IF($A499="","",IF(COUNTIFS(Tasks!$B$5:$B$1000,$A499,Tasks!$A$5:$A$1000,"&lt;&gt;")=0,0,COUNTIFS(Tasks!$B$5:$B$1000,$A499,Tasks!$A$5:$A$1000,"&lt;&gt;",Tasks!$D$5:$D$1000,"Done")/COUNTIFS(Tasks!$B$5:$B$1000,$A499,Tasks!$A$5:$A$1000,"&lt;&gt;")))</f>
        <v/>
      </c>
      <c r="K499" s="11" t="str">
        <f>IF(OR($A499="",$F499=""),"",$F499-Overview!$B$3)</f>
        <v/>
      </c>
    </row>
    <row r="500" spans="4:11" x14ac:dyDescent="0.25">
      <c r="D500" s="18" t="str">
        <f>IF($C500="","",IFERROR(INDEX(Clients!$B$5:$B$1000,MATCH($C500,Clients!$A$5:$A$1000,0)),"Unknown client ID"))</f>
        <v/>
      </c>
      <c r="E500" s="16"/>
      <c r="F500" s="16"/>
      <c r="G500" s="17"/>
      <c r="J500" s="12" t="str">
        <f>IF($A500="","",IF(COUNTIFS(Tasks!$B$5:$B$1000,$A500,Tasks!$A$5:$A$1000,"&lt;&gt;")=0,0,COUNTIFS(Tasks!$B$5:$B$1000,$A500,Tasks!$A$5:$A$1000,"&lt;&gt;",Tasks!$D$5:$D$1000,"Done")/COUNTIFS(Tasks!$B$5:$B$1000,$A500,Tasks!$A$5:$A$1000,"&lt;&gt;")))</f>
        <v/>
      </c>
      <c r="K500" s="11" t="str">
        <f>IF(OR($A500="",$F500=""),"",$F500-Overview!$B$3)</f>
        <v/>
      </c>
    </row>
    <row r="501" spans="4:11" x14ac:dyDescent="0.25">
      <c r="D501" s="18" t="str">
        <f>IF($C501="","",IFERROR(INDEX(Clients!$B$5:$B$1000,MATCH($C501,Clients!$A$5:$A$1000,0)),"Unknown client ID"))</f>
        <v/>
      </c>
      <c r="E501" s="16"/>
      <c r="F501" s="16"/>
      <c r="G501" s="17"/>
      <c r="J501" s="12" t="str">
        <f>IF($A501="","",IF(COUNTIFS(Tasks!$B$5:$B$1000,$A501,Tasks!$A$5:$A$1000,"&lt;&gt;")=0,0,COUNTIFS(Tasks!$B$5:$B$1000,$A501,Tasks!$A$5:$A$1000,"&lt;&gt;",Tasks!$D$5:$D$1000,"Done")/COUNTIFS(Tasks!$B$5:$B$1000,$A501,Tasks!$A$5:$A$1000,"&lt;&gt;")))</f>
        <v/>
      </c>
      <c r="K501" s="11" t="str">
        <f>IF(OR($A501="",$F501=""),"",$F501-Overview!$B$3)</f>
        <v/>
      </c>
    </row>
    <row r="502" spans="4:11" x14ac:dyDescent="0.25">
      <c r="D502" s="18" t="str">
        <f>IF($C502="","",IFERROR(INDEX(Clients!$B$5:$B$1000,MATCH($C502,Clients!$A$5:$A$1000,0)),"Unknown client ID"))</f>
        <v/>
      </c>
      <c r="E502" s="16"/>
      <c r="F502" s="16"/>
      <c r="G502" s="17"/>
      <c r="J502" s="12" t="str">
        <f>IF($A502="","",IF(COUNTIFS(Tasks!$B$5:$B$1000,$A502,Tasks!$A$5:$A$1000,"&lt;&gt;")=0,0,COUNTIFS(Tasks!$B$5:$B$1000,$A502,Tasks!$A$5:$A$1000,"&lt;&gt;",Tasks!$D$5:$D$1000,"Done")/COUNTIFS(Tasks!$B$5:$B$1000,$A502,Tasks!$A$5:$A$1000,"&lt;&gt;")))</f>
        <v/>
      </c>
      <c r="K502" s="11" t="str">
        <f>IF(OR($A502="",$F502=""),"",$F502-Overview!$B$3)</f>
        <v/>
      </c>
    </row>
    <row r="503" spans="4:11" x14ac:dyDescent="0.25">
      <c r="D503" s="18" t="str">
        <f>IF($C503="","",IFERROR(INDEX(Clients!$B$5:$B$1000,MATCH($C503,Clients!$A$5:$A$1000,0)),"Unknown client ID"))</f>
        <v/>
      </c>
      <c r="E503" s="16"/>
      <c r="F503" s="16"/>
      <c r="G503" s="17"/>
      <c r="J503" s="12" t="str">
        <f>IF($A503="","",IF(COUNTIFS(Tasks!$B$5:$B$1000,$A503,Tasks!$A$5:$A$1000,"&lt;&gt;")=0,0,COUNTIFS(Tasks!$B$5:$B$1000,$A503,Tasks!$A$5:$A$1000,"&lt;&gt;",Tasks!$D$5:$D$1000,"Done")/COUNTIFS(Tasks!$B$5:$B$1000,$A503,Tasks!$A$5:$A$1000,"&lt;&gt;")))</f>
        <v/>
      </c>
      <c r="K503" s="11" t="str">
        <f>IF(OR($A503="",$F503=""),"",$F503-Overview!$B$3)</f>
        <v/>
      </c>
    </row>
    <row r="504" spans="4:11" x14ac:dyDescent="0.25">
      <c r="D504" s="18" t="str">
        <f>IF($C504="","",IFERROR(INDEX(Clients!$B$5:$B$1000,MATCH($C504,Clients!$A$5:$A$1000,0)),"Unknown client ID"))</f>
        <v/>
      </c>
      <c r="E504" s="16"/>
      <c r="F504" s="16"/>
      <c r="G504" s="17"/>
      <c r="J504" s="12" t="str">
        <f>IF($A504="","",IF(COUNTIFS(Tasks!$B$5:$B$1000,$A504,Tasks!$A$5:$A$1000,"&lt;&gt;")=0,0,COUNTIFS(Tasks!$B$5:$B$1000,$A504,Tasks!$A$5:$A$1000,"&lt;&gt;",Tasks!$D$5:$D$1000,"Done")/COUNTIFS(Tasks!$B$5:$B$1000,$A504,Tasks!$A$5:$A$1000,"&lt;&gt;")))</f>
        <v/>
      </c>
      <c r="K504" s="11" t="str">
        <f>IF(OR($A504="",$F504=""),"",$F504-Overview!$B$3)</f>
        <v/>
      </c>
    </row>
    <row r="505" spans="4:11" x14ac:dyDescent="0.25">
      <c r="D505" s="18" t="str">
        <f>IF($C505="","",IFERROR(INDEX(Clients!$B$5:$B$1000,MATCH($C505,Clients!$A$5:$A$1000,0)),"Unknown client ID"))</f>
        <v/>
      </c>
      <c r="E505" s="16"/>
      <c r="F505" s="16"/>
      <c r="G505" s="17"/>
      <c r="J505" s="12" t="str">
        <f>IF($A505="","",IF(COUNTIFS(Tasks!$B$5:$B$1000,$A505,Tasks!$A$5:$A$1000,"&lt;&gt;")=0,0,COUNTIFS(Tasks!$B$5:$B$1000,$A505,Tasks!$A$5:$A$1000,"&lt;&gt;",Tasks!$D$5:$D$1000,"Done")/COUNTIFS(Tasks!$B$5:$B$1000,$A505,Tasks!$A$5:$A$1000,"&lt;&gt;")))</f>
        <v/>
      </c>
      <c r="K505" s="11" t="str">
        <f>IF(OR($A505="",$F505=""),"",$F505-Overview!$B$3)</f>
        <v/>
      </c>
    </row>
    <row r="506" spans="4:11" x14ac:dyDescent="0.25">
      <c r="D506" s="18" t="str">
        <f>IF($C506="","",IFERROR(INDEX(Clients!$B$5:$B$1000,MATCH($C506,Clients!$A$5:$A$1000,0)),"Unknown client ID"))</f>
        <v/>
      </c>
      <c r="E506" s="16"/>
      <c r="F506" s="16"/>
      <c r="G506" s="17"/>
      <c r="J506" s="12" t="str">
        <f>IF($A506="","",IF(COUNTIFS(Tasks!$B$5:$B$1000,$A506,Tasks!$A$5:$A$1000,"&lt;&gt;")=0,0,COUNTIFS(Tasks!$B$5:$B$1000,$A506,Tasks!$A$5:$A$1000,"&lt;&gt;",Tasks!$D$5:$D$1000,"Done")/COUNTIFS(Tasks!$B$5:$B$1000,$A506,Tasks!$A$5:$A$1000,"&lt;&gt;")))</f>
        <v/>
      </c>
      <c r="K506" s="11" t="str">
        <f>IF(OR($A506="",$F506=""),"",$F506-Overview!$B$3)</f>
        <v/>
      </c>
    </row>
    <row r="507" spans="4:11" x14ac:dyDescent="0.25">
      <c r="D507" s="18" t="str">
        <f>IF($C507="","",IFERROR(INDEX(Clients!$B$5:$B$1000,MATCH($C507,Clients!$A$5:$A$1000,0)),"Unknown client ID"))</f>
        <v/>
      </c>
      <c r="E507" s="16"/>
      <c r="F507" s="16"/>
      <c r="G507" s="17"/>
      <c r="J507" s="12" t="str">
        <f>IF($A507="","",IF(COUNTIFS(Tasks!$B$5:$B$1000,$A507,Tasks!$A$5:$A$1000,"&lt;&gt;")=0,0,COUNTIFS(Tasks!$B$5:$B$1000,$A507,Tasks!$A$5:$A$1000,"&lt;&gt;",Tasks!$D$5:$D$1000,"Done")/COUNTIFS(Tasks!$B$5:$B$1000,$A507,Tasks!$A$5:$A$1000,"&lt;&gt;")))</f>
        <v/>
      </c>
      <c r="K507" s="11" t="str">
        <f>IF(OR($A507="",$F507=""),"",$F507-Overview!$B$3)</f>
        <v/>
      </c>
    </row>
    <row r="508" spans="4:11" x14ac:dyDescent="0.25">
      <c r="D508" s="18" t="str">
        <f>IF($C508="","",IFERROR(INDEX(Clients!$B$5:$B$1000,MATCH($C508,Clients!$A$5:$A$1000,0)),"Unknown client ID"))</f>
        <v/>
      </c>
      <c r="E508" s="16"/>
      <c r="F508" s="16"/>
      <c r="G508" s="17"/>
      <c r="J508" s="12" t="str">
        <f>IF($A508="","",IF(COUNTIFS(Tasks!$B$5:$B$1000,$A508,Tasks!$A$5:$A$1000,"&lt;&gt;")=0,0,COUNTIFS(Tasks!$B$5:$B$1000,$A508,Tasks!$A$5:$A$1000,"&lt;&gt;",Tasks!$D$5:$D$1000,"Done")/COUNTIFS(Tasks!$B$5:$B$1000,$A508,Tasks!$A$5:$A$1000,"&lt;&gt;")))</f>
        <v/>
      </c>
      <c r="K508" s="11" t="str">
        <f>IF(OR($A508="",$F508=""),"",$F508-Overview!$B$3)</f>
        <v/>
      </c>
    </row>
    <row r="509" spans="4:11" x14ac:dyDescent="0.25">
      <c r="D509" s="18" t="str">
        <f>IF($C509="","",IFERROR(INDEX(Clients!$B$5:$B$1000,MATCH($C509,Clients!$A$5:$A$1000,0)),"Unknown client ID"))</f>
        <v/>
      </c>
      <c r="E509" s="16"/>
      <c r="F509" s="16"/>
      <c r="G509" s="17"/>
      <c r="J509" s="12" t="str">
        <f>IF($A509="","",IF(COUNTIFS(Tasks!$B$5:$B$1000,$A509,Tasks!$A$5:$A$1000,"&lt;&gt;")=0,0,COUNTIFS(Tasks!$B$5:$B$1000,$A509,Tasks!$A$5:$A$1000,"&lt;&gt;",Tasks!$D$5:$D$1000,"Done")/COUNTIFS(Tasks!$B$5:$B$1000,$A509,Tasks!$A$5:$A$1000,"&lt;&gt;")))</f>
        <v/>
      </c>
      <c r="K509" s="11" t="str">
        <f>IF(OR($A509="",$F509=""),"",$F509-Overview!$B$3)</f>
        <v/>
      </c>
    </row>
    <row r="510" spans="4:11" x14ac:dyDescent="0.25">
      <c r="D510" s="18" t="str">
        <f>IF($C510="","",IFERROR(INDEX(Clients!$B$5:$B$1000,MATCH($C510,Clients!$A$5:$A$1000,0)),"Unknown client ID"))</f>
        <v/>
      </c>
      <c r="E510" s="16"/>
      <c r="F510" s="16"/>
      <c r="G510" s="17"/>
      <c r="J510" s="12" t="str">
        <f>IF($A510="","",IF(COUNTIFS(Tasks!$B$5:$B$1000,$A510,Tasks!$A$5:$A$1000,"&lt;&gt;")=0,0,COUNTIFS(Tasks!$B$5:$B$1000,$A510,Tasks!$A$5:$A$1000,"&lt;&gt;",Tasks!$D$5:$D$1000,"Done")/COUNTIFS(Tasks!$B$5:$B$1000,$A510,Tasks!$A$5:$A$1000,"&lt;&gt;")))</f>
        <v/>
      </c>
      <c r="K510" s="11" t="str">
        <f>IF(OR($A510="",$F510=""),"",$F510-Overview!$B$3)</f>
        <v/>
      </c>
    </row>
    <row r="511" spans="4:11" x14ac:dyDescent="0.25">
      <c r="D511" s="18" t="str">
        <f>IF($C511="","",IFERROR(INDEX(Clients!$B$5:$B$1000,MATCH($C511,Clients!$A$5:$A$1000,0)),"Unknown client ID"))</f>
        <v/>
      </c>
      <c r="E511" s="16"/>
      <c r="F511" s="16"/>
      <c r="G511" s="17"/>
      <c r="J511" s="12" t="str">
        <f>IF($A511="","",IF(COUNTIFS(Tasks!$B$5:$B$1000,$A511,Tasks!$A$5:$A$1000,"&lt;&gt;")=0,0,COUNTIFS(Tasks!$B$5:$B$1000,$A511,Tasks!$A$5:$A$1000,"&lt;&gt;",Tasks!$D$5:$D$1000,"Done")/COUNTIFS(Tasks!$B$5:$B$1000,$A511,Tasks!$A$5:$A$1000,"&lt;&gt;")))</f>
        <v/>
      </c>
      <c r="K511" s="11" t="str">
        <f>IF(OR($A511="",$F511=""),"",$F511-Overview!$B$3)</f>
        <v/>
      </c>
    </row>
    <row r="512" spans="4:11" x14ac:dyDescent="0.25">
      <c r="D512" s="18" t="str">
        <f>IF($C512="","",IFERROR(INDEX(Clients!$B$5:$B$1000,MATCH($C512,Clients!$A$5:$A$1000,0)),"Unknown client ID"))</f>
        <v/>
      </c>
      <c r="E512" s="16"/>
      <c r="F512" s="16"/>
      <c r="G512" s="17"/>
      <c r="J512" s="12" t="str">
        <f>IF($A512="","",IF(COUNTIFS(Tasks!$B$5:$B$1000,$A512,Tasks!$A$5:$A$1000,"&lt;&gt;")=0,0,COUNTIFS(Tasks!$B$5:$B$1000,$A512,Tasks!$A$5:$A$1000,"&lt;&gt;",Tasks!$D$5:$D$1000,"Done")/COUNTIFS(Tasks!$B$5:$B$1000,$A512,Tasks!$A$5:$A$1000,"&lt;&gt;")))</f>
        <v/>
      </c>
      <c r="K512" s="11" t="str">
        <f>IF(OR($A512="",$F512=""),"",$F512-Overview!$B$3)</f>
        <v/>
      </c>
    </row>
    <row r="513" spans="4:11" x14ac:dyDescent="0.25">
      <c r="D513" s="18" t="str">
        <f>IF($C513="","",IFERROR(INDEX(Clients!$B$5:$B$1000,MATCH($C513,Clients!$A$5:$A$1000,0)),"Unknown client ID"))</f>
        <v/>
      </c>
      <c r="E513" s="16"/>
      <c r="F513" s="16"/>
      <c r="G513" s="17"/>
      <c r="J513" s="12" t="str">
        <f>IF($A513="","",IF(COUNTIFS(Tasks!$B$5:$B$1000,$A513,Tasks!$A$5:$A$1000,"&lt;&gt;")=0,0,COUNTIFS(Tasks!$B$5:$B$1000,$A513,Tasks!$A$5:$A$1000,"&lt;&gt;",Tasks!$D$5:$D$1000,"Done")/COUNTIFS(Tasks!$B$5:$B$1000,$A513,Tasks!$A$5:$A$1000,"&lt;&gt;")))</f>
        <v/>
      </c>
      <c r="K513" s="11" t="str">
        <f>IF(OR($A513="",$F513=""),"",$F513-Overview!$B$3)</f>
        <v/>
      </c>
    </row>
    <row r="514" spans="4:11" x14ac:dyDescent="0.25">
      <c r="D514" s="18" t="str">
        <f>IF($C514="","",IFERROR(INDEX(Clients!$B$5:$B$1000,MATCH($C514,Clients!$A$5:$A$1000,0)),"Unknown client ID"))</f>
        <v/>
      </c>
      <c r="E514" s="16"/>
      <c r="F514" s="16"/>
      <c r="G514" s="17"/>
      <c r="J514" s="12" t="str">
        <f>IF($A514="","",IF(COUNTIFS(Tasks!$B$5:$B$1000,$A514,Tasks!$A$5:$A$1000,"&lt;&gt;")=0,0,COUNTIFS(Tasks!$B$5:$B$1000,$A514,Tasks!$A$5:$A$1000,"&lt;&gt;",Tasks!$D$5:$D$1000,"Done")/COUNTIFS(Tasks!$B$5:$B$1000,$A514,Tasks!$A$5:$A$1000,"&lt;&gt;")))</f>
        <v/>
      </c>
      <c r="K514" s="11" t="str">
        <f>IF(OR($A514="",$F514=""),"",$F514-Overview!$B$3)</f>
        <v/>
      </c>
    </row>
    <row r="515" spans="4:11" x14ac:dyDescent="0.25">
      <c r="D515" s="18" t="str">
        <f>IF($C515="","",IFERROR(INDEX(Clients!$B$5:$B$1000,MATCH($C515,Clients!$A$5:$A$1000,0)),"Unknown client ID"))</f>
        <v/>
      </c>
      <c r="E515" s="16"/>
      <c r="F515" s="16"/>
      <c r="G515" s="17"/>
      <c r="J515" s="12" t="str">
        <f>IF($A515="","",IF(COUNTIFS(Tasks!$B$5:$B$1000,$A515,Tasks!$A$5:$A$1000,"&lt;&gt;")=0,0,COUNTIFS(Tasks!$B$5:$B$1000,$A515,Tasks!$A$5:$A$1000,"&lt;&gt;",Tasks!$D$5:$D$1000,"Done")/COUNTIFS(Tasks!$B$5:$B$1000,$A515,Tasks!$A$5:$A$1000,"&lt;&gt;")))</f>
        <v/>
      </c>
      <c r="K515" s="11" t="str">
        <f>IF(OR($A515="",$F515=""),"",$F515-Overview!$B$3)</f>
        <v/>
      </c>
    </row>
    <row r="516" spans="4:11" x14ac:dyDescent="0.25">
      <c r="D516" s="18" t="str">
        <f>IF($C516="","",IFERROR(INDEX(Clients!$B$5:$B$1000,MATCH($C516,Clients!$A$5:$A$1000,0)),"Unknown client ID"))</f>
        <v/>
      </c>
      <c r="E516" s="16"/>
      <c r="F516" s="16"/>
      <c r="G516" s="17"/>
      <c r="J516" s="12" t="str">
        <f>IF($A516="","",IF(COUNTIFS(Tasks!$B$5:$B$1000,$A516,Tasks!$A$5:$A$1000,"&lt;&gt;")=0,0,COUNTIFS(Tasks!$B$5:$B$1000,$A516,Tasks!$A$5:$A$1000,"&lt;&gt;",Tasks!$D$5:$D$1000,"Done")/COUNTIFS(Tasks!$B$5:$B$1000,$A516,Tasks!$A$5:$A$1000,"&lt;&gt;")))</f>
        <v/>
      </c>
      <c r="K516" s="11" t="str">
        <f>IF(OR($A516="",$F516=""),"",$F516-Overview!$B$3)</f>
        <v/>
      </c>
    </row>
    <row r="517" spans="4:11" x14ac:dyDescent="0.25">
      <c r="D517" s="18" t="str">
        <f>IF($C517="","",IFERROR(INDEX(Clients!$B$5:$B$1000,MATCH($C517,Clients!$A$5:$A$1000,0)),"Unknown client ID"))</f>
        <v/>
      </c>
      <c r="E517" s="16"/>
      <c r="F517" s="16"/>
      <c r="G517" s="17"/>
      <c r="J517" s="12" t="str">
        <f>IF($A517="","",IF(COUNTIFS(Tasks!$B$5:$B$1000,$A517,Tasks!$A$5:$A$1000,"&lt;&gt;")=0,0,COUNTIFS(Tasks!$B$5:$B$1000,$A517,Tasks!$A$5:$A$1000,"&lt;&gt;",Tasks!$D$5:$D$1000,"Done")/COUNTIFS(Tasks!$B$5:$B$1000,$A517,Tasks!$A$5:$A$1000,"&lt;&gt;")))</f>
        <v/>
      </c>
      <c r="K517" s="11" t="str">
        <f>IF(OR($A517="",$F517=""),"",$F517-Overview!$B$3)</f>
        <v/>
      </c>
    </row>
    <row r="518" spans="4:11" x14ac:dyDescent="0.25">
      <c r="D518" s="18" t="str">
        <f>IF($C518="","",IFERROR(INDEX(Clients!$B$5:$B$1000,MATCH($C518,Clients!$A$5:$A$1000,0)),"Unknown client ID"))</f>
        <v/>
      </c>
      <c r="E518" s="16"/>
      <c r="F518" s="16"/>
      <c r="G518" s="17"/>
      <c r="J518" s="12" t="str">
        <f>IF($A518="","",IF(COUNTIFS(Tasks!$B$5:$B$1000,$A518,Tasks!$A$5:$A$1000,"&lt;&gt;")=0,0,COUNTIFS(Tasks!$B$5:$B$1000,$A518,Tasks!$A$5:$A$1000,"&lt;&gt;",Tasks!$D$5:$D$1000,"Done")/COUNTIFS(Tasks!$B$5:$B$1000,$A518,Tasks!$A$5:$A$1000,"&lt;&gt;")))</f>
        <v/>
      </c>
      <c r="K518" s="11" t="str">
        <f>IF(OR($A518="",$F518=""),"",$F518-Overview!$B$3)</f>
        <v/>
      </c>
    </row>
    <row r="519" spans="4:11" x14ac:dyDescent="0.25">
      <c r="D519" s="18" t="str">
        <f>IF($C519="","",IFERROR(INDEX(Clients!$B$5:$B$1000,MATCH($C519,Clients!$A$5:$A$1000,0)),"Unknown client ID"))</f>
        <v/>
      </c>
      <c r="E519" s="16"/>
      <c r="F519" s="16"/>
      <c r="G519" s="17"/>
      <c r="J519" s="12" t="str">
        <f>IF($A519="","",IF(COUNTIFS(Tasks!$B$5:$B$1000,$A519,Tasks!$A$5:$A$1000,"&lt;&gt;")=0,0,COUNTIFS(Tasks!$B$5:$B$1000,$A519,Tasks!$A$5:$A$1000,"&lt;&gt;",Tasks!$D$5:$D$1000,"Done")/COUNTIFS(Tasks!$B$5:$B$1000,$A519,Tasks!$A$5:$A$1000,"&lt;&gt;")))</f>
        <v/>
      </c>
      <c r="K519" s="11" t="str">
        <f>IF(OR($A519="",$F519=""),"",$F519-Overview!$B$3)</f>
        <v/>
      </c>
    </row>
    <row r="520" spans="4:11" x14ac:dyDescent="0.25">
      <c r="D520" s="18" t="str">
        <f>IF($C520="","",IFERROR(INDEX(Clients!$B$5:$B$1000,MATCH($C520,Clients!$A$5:$A$1000,0)),"Unknown client ID"))</f>
        <v/>
      </c>
      <c r="E520" s="16"/>
      <c r="F520" s="16"/>
      <c r="G520" s="17"/>
      <c r="J520" s="12" t="str">
        <f>IF($A520="","",IF(COUNTIFS(Tasks!$B$5:$B$1000,$A520,Tasks!$A$5:$A$1000,"&lt;&gt;")=0,0,COUNTIFS(Tasks!$B$5:$B$1000,$A520,Tasks!$A$5:$A$1000,"&lt;&gt;",Tasks!$D$5:$D$1000,"Done")/COUNTIFS(Tasks!$B$5:$B$1000,$A520,Tasks!$A$5:$A$1000,"&lt;&gt;")))</f>
        <v/>
      </c>
      <c r="K520" s="11" t="str">
        <f>IF(OR($A520="",$F520=""),"",$F520-Overview!$B$3)</f>
        <v/>
      </c>
    </row>
    <row r="521" spans="4:11" x14ac:dyDescent="0.25">
      <c r="D521" s="18" t="str">
        <f>IF($C521="","",IFERROR(INDEX(Clients!$B$5:$B$1000,MATCH($C521,Clients!$A$5:$A$1000,0)),"Unknown client ID"))</f>
        <v/>
      </c>
      <c r="E521" s="16"/>
      <c r="F521" s="16"/>
      <c r="G521" s="17"/>
      <c r="J521" s="12" t="str">
        <f>IF($A521="","",IF(COUNTIFS(Tasks!$B$5:$B$1000,$A521,Tasks!$A$5:$A$1000,"&lt;&gt;")=0,0,COUNTIFS(Tasks!$B$5:$B$1000,$A521,Tasks!$A$5:$A$1000,"&lt;&gt;",Tasks!$D$5:$D$1000,"Done")/COUNTIFS(Tasks!$B$5:$B$1000,$A521,Tasks!$A$5:$A$1000,"&lt;&gt;")))</f>
        <v/>
      </c>
      <c r="K521" s="11" t="str">
        <f>IF(OR($A521="",$F521=""),"",$F521-Overview!$B$3)</f>
        <v/>
      </c>
    </row>
    <row r="522" spans="4:11" x14ac:dyDescent="0.25">
      <c r="D522" s="18" t="str">
        <f>IF($C522="","",IFERROR(INDEX(Clients!$B$5:$B$1000,MATCH($C522,Clients!$A$5:$A$1000,0)),"Unknown client ID"))</f>
        <v/>
      </c>
      <c r="E522" s="16"/>
      <c r="F522" s="16"/>
      <c r="G522" s="17"/>
      <c r="J522" s="12" t="str">
        <f>IF($A522="","",IF(COUNTIFS(Tasks!$B$5:$B$1000,$A522,Tasks!$A$5:$A$1000,"&lt;&gt;")=0,0,COUNTIFS(Tasks!$B$5:$B$1000,$A522,Tasks!$A$5:$A$1000,"&lt;&gt;",Tasks!$D$5:$D$1000,"Done")/COUNTIFS(Tasks!$B$5:$B$1000,$A522,Tasks!$A$5:$A$1000,"&lt;&gt;")))</f>
        <v/>
      </c>
      <c r="K522" s="11" t="str">
        <f>IF(OR($A522="",$F522=""),"",$F522-Overview!$B$3)</f>
        <v/>
      </c>
    </row>
    <row r="523" spans="4:11" x14ac:dyDescent="0.25">
      <c r="D523" s="18" t="str">
        <f>IF($C523="","",IFERROR(INDEX(Clients!$B$5:$B$1000,MATCH($C523,Clients!$A$5:$A$1000,0)),"Unknown client ID"))</f>
        <v/>
      </c>
      <c r="E523" s="16"/>
      <c r="F523" s="16"/>
      <c r="G523" s="17"/>
      <c r="J523" s="12" t="str">
        <f>IF($A523="","",IF(COUNTIFS(Tasks!$B$5:$B$1000,$A523,Tasks!$A$5:$A$1000,"&lt;&gt;")=0,0,COUNTIFS(Tasks!$B$5:$B$1000,$A523,Tasks!$A$5:$A$1000,"&lt;&gt;",Tasks!$D$5:$D$1000,"Done")/COUNTIFS(Tasks!$B$5:$B$1000,$A523,Tasks!$A$5:$A$1000,"&lt;&gt;")))</f>
        <v/>
      </c>
      <c r="K523" s="11" t="str">
        <f>IF(OR($A523="",$F523=""),"",$F523-Overview!$B$3)</f>
        <v/>
      </c>
    </row>
    <row r="524" spans="4:11" x14ac:dyDescent="0.25">
      <c r="D524" s="18" t="str">
        <f>IF($C524="","",IFERROR(INDEX(Clients!$B$5:$B$1000,MATCH($C524,Clients!$A$5:$A$1000,0)),"Unknown client ID"))</f>
        <v/>
      </c>
      <c r="E524" s="16"/>
      <c r="F524" s="16"/>
      <c r="G524" s="17"/>
      <c r="J524" s="12" t="str">
        <f>IF($A524="","",IF(COUNTIFS(Tasks!$B$5:$B$1000,$A524,Tasks!$A$5:$A$1000,"&lt;&gt;")=0,0,COUNTIFS(Tasks!$B$5:$B$1000,$A524,Tasks!$A$5:$A$1000,"&lt;&gt;",Tasks!$D$5:$D$1000,"Done")/COUNTIFS(Tasks!$B$5:$B$1000,$A524,Tasks!$A$5:$A$1000,"&lt;&gt;")))</f>
        <v/>
      </c>
      <c r="K524" s="11" t="str">
        <f>IF(OR($A524="",$F524=""),"",$F524-Overview!$B$3)</f>
        <v/>
      </c>
    </row>
    <row r="525" spans="4:11" x14ac:dyDescent="0.25">
      <c r="D525" s="18" t="str">
        <f>IF($C525="","",IFERROR(INDEX(Clients!$B$5:$B$1000,MATCH($C525,Clients!$A$5:$A$1000,0)),"Unknown client ID"))</f>
        <v/>
      </c>
      <c r="E525" s="16"/>
      <c r="F525" s="16"/>
      <c r="G525" s="17"/>
      <c r="J525" s="12" t="str">
        <f>IF($A525="","",IF(COUNTIFS(Tasks!$B$5:$B$1000,$A525,Tasks!$A$5:$A$1000,"&lt;&gt;")=0,0,COUNTIFS(Tasks!$B$5:$B$1000,$A525,Tasks!$A$5:$A$1000,"&lt;&gt;",Tasks!$D$5:$D$1000,"Done")/COUNTIFS(Tasks!$B$5:$B$1000,$A525,Tasks!$A$5:$A$1000,"&lt;&gt;")))</f>
        <v/>
      </c>
      <c r="K525" s="11" t="str">
        <f>IF(OR($A525="",$F525=""),"",$F525-Overview!$B$3)</f>
        <v/>
      </c>
    </row>
    <row r="526" spans="4:11" x14ac:dyDescent="0.25">
      <c r="D526" s="18" t="str">
        <f>IF($C526="","",IFERROR(INDEX(Clients!$B$5:$B$1000,MATCH($C526,Clients!$A$5:$A$1000,0)),"Unknown client ID"))</f>
        <v/>
      </c>
      <c r="E526" s="16"/>
      <c r="F526" s="16"/>
      <c r="G526" s="17"/>
      <c r="J526" s="12" t="str">
        <f>IF($A526="","",IF(COUNTIFS(Tasks!$B$5:$B$1000,$A526,Tasks!$A$5:$A$1000,"&lt;&gt;")=0,0,COUNTIFS(Tasks!$B$5:$B$1000,$A526,Tasks!$A$5:$A$1000,"&lt;&gt;",Tasks!$D$5:$D$1000,"Done")/COUNTIFS(Tasks!$B$5:$B$1000,$A526,Tasks!$A$5:$A$1000,"&lt;&gt;")))</f>
        <v/>
      </c>
      <c r="K526" s="11" t="str">
        <f>IF(OR($A526="",$F526=""),"",$F526-Overview!$B$3)</f>
        <v/>
      </c>
    </row>
    <row r="527" spans="4:11" x14ac:dyDescent="0.25">
      <c r="D527" s="18" t="str">
        <f>IF($C527="","",IFERROR(INDEX(Clients!$B$5:$B$1000,MATCH($C527,Clients!$A$5:$A$1000,0)),"Unknown client ID"))</f>
        <v/>
      </c>
      <c r="E527" s="16"/>
      <c r="F527" s="16"/>
      <c r="G527" s="17"/>
      <c r="J527" s="12" t="str">
        <f>IF($A527="","",IF(COUNTIFS(Tasks!$B$5:$B$1000,$A527,Tasks!$A$5:$A$1000,"&lt;&gt;")=0,0,COUNTIFS(Tasks!$B$5:$B$1000,$A527,Tasks!$A$5:$A$1000,"&lt;&gt;",Tasks!$D$5:$D$1000,"Done")/COUNTIFS(Tasks!$B$5:$B$1000,$A527,Tasks!$A$5:$A$1000,"&lt;&gt;")))</f>
        <v/>
      </c>
      <c r="K527" s="11" t="str">
        <f>IF(OR($A527="",$F527=""),"",$F527-Overview!$B$3)</f>
        <v/>
      </c>
    </row>
    <row r="528" spans="4:11" x14ac:dyDescent="0.25">
      <c r="D528" s="18" t="str">
        <f>IF($C528="","",IFERROR(INDEX(Clients!$B$5:$B$1000,MATCH($C528,Clients!$A$5:$A$1000,0)),"Unknown client ID"))</f>
        <v/>
      </c>
      <c r="E528" s="16"/>
      <c r="F528" s="16"/>
      <c r="G528" s="17"/>
      <c r="J528" s="12" t="str">
        <f>IF($A528="","",IF(COUNTIFS(Tasks!$B$5:$B$1000,$A528,Tasks!$A$5:$A$1000,"&lt;&gt;")=0,0,COUNTIFS(Tasks!$B$5:$B$1000,$A528,Tasks!$A$5:$A$1000,"&lt;&gt;",Tasks!$D$5:$D$1000,"Done")/COUNTIFS(Tasks!$B$5:$B$1000,$A528,Tasks!$A$5:$A$1000,"&lt;&gt;")))</f>
        <v/>
      </c>
      <c r="K528" s="11" t="str">
        <f>IF(OR($A528="",$F528=""),"",$F528-Overview!$B$3)</f>
        <v/>
      </c>
    </row>
    <row r="529" spans="4:11" x14ac:dyDescent="0.25">
      <c r="D529" s="18" t="str">
        <f>IF($C529="","",IFERROR(INDEX(Clients!$B$5:$B$1000,MATCH($C529,Clients!$A$5:$A$1000,0)),"Unknown client ID"))</f>
        <v/>
      </c>
      <c r="E529" s="16"/>
      <c r="F529" s="16"/>
      <c r="G529" s="17"/>
      <c r="J529" s="12" t="str">
        <f>IF($A529="","",IF(COUNTIFS(Tasks!$B$5:$B$1000,$A529,Tasks!$A$5:$A$1000,"&lt;&gt;")=0,0,COUNTIFS(Tasks!$B$5:$B$1000,$A529,Tasks!$A$5:$A$1000,"&lt;&gt;",Tasks!$D$5:$D$1000,"Done")/COUNTIFS(Tasks!$B$5:$B$1000,$A529,Tasks!$A$5:$A$1000,"&lt;&gt;")))</f>
        <v/>
      </c>
      <c r="K529" s="11" t="str">
        <f>IF(OR($A529="",$F529=""),"",$F529-Overview!$B$3)</f>
        <v/>
      </c>
    </row>
    <row r="530" spans="4:11" x14ac:dyDescent="0.25">
      <c r="D530" s="18" t="str">
        <f>IF($C530="","",IFERROR(INDEX(Clients!$B$5:$B$1000,MATCH($C530,Clients!$A$5:$A$1000,0)),"Unknown client ID"))</f>
        <v/>
      </c>
      <c r="E530" s="16"/>
      <c r="F530" s="16"/>
      <c r="G530" s="17"/>
      <c r="J530" s="12" t="str">
        <f>IF($A530="","",IF(COUNTIFS(Tasks!$B$5:$B$1000,$A530,Tasks!$A$5:$A$1000,"&lt;&gt;")=0,0,COUNTIFS(Tasks!$B$5:$B$1000,$A530,Tasks!$A$5:$A$1000,"&lt;&gt;",Tasks!$D$5:$D$1000,"Done")/COUNTIFS(Tasks!$B$5:$B$1000,$A530,Tasks!$A$5:$A$1000,"&lt;&gt;")))</f>
        <v/>
      </c>
      <c r="K530" s="11" t="str">
        <f>IF(OR($A530="",$F530=""),"",$F530-Overview!$B$3)</f>
        <v/>
      </c>
    </row>
    <row r="531" spans="4:11" x14ac:dyDescent="0.25">
      <c r="D531" s="18" t="str">
        <f>IF($C531="","",IFERROR(INDEX(Clients!$B$5:$B$1000,MATCH($C531,Clients!$A$5:$A$1000,0)),"Unknown client ID"))</f>
        <v/>
      </c>
      <c r="E531" s="16"/>
      <c r="F531" s="16"/>
      <c r="G531" s="17"/>
      <c r="J531" s="12" t="str">
        <f>IF($A531="","",IF(COUNTIFS(Tasks!$B$5:$B$1000,$A531,Tasks!$A$5:$A$1000,"&lt;&gt;")=0,0,COUNTIFS(Tasks!$B$5:$B$1000,$A531,Tasks!$A$5:$A$1000,"&lt;&gt;",Tasks!$D$5:$D$1000,"Done")/COUNTIFS(Tasks!$B$5:$B$1000,$A531,Tasks!$A$5:$A$1000,"&lt;&gt;")))</f>
        <v/>
      </c>
      <c r="K531" s="11" t="str">
        <f>IF(OR($A531="",$F531=""),"",$F531-Overview!$B$3)</f>
        <v/>
      </c>
    </row>
    <row r="532" spans="4:11" x14ac:dyDescent="0.25">
      <c r="D532" s="18" t="str">
        <f>IF($C532="","",IFERROR(INDEX(Clients!$B$5:$B$1000,MATCH($C532,Clients!$A$5:$A$1000,0)),"Unknown client ID"))</f>
        <v/>
      </c>
      <c r="E532" s="16"/>
      <c r="F532" s="16"/>
      <c r="G532" s="17"/>
      <c r="J532" s="12" t="str">
        <f>IF($A532="","",IF(COUNTIFS(Tasks!$B$5:$B$1000,$A532,Tasks!$A$5:$A$1000,"&lt;&gt;")=0,0,COUNTIFS(Tasks!$B$5:$B$1000,$A532,Tasks!$A$5:$A$1000,"&lt;&gt;",Tasks!$D$5:$D$1000,"Done")/COUNTIFS(Tasks!$B$5:$B$1000,$A532,Tasks!$A$5:$A$1000,"&lt;&gt;")))</f>
        <v/>
      </c>
      <c r="K532" s="11" t="str">
        <f>IF(OR($A532="",$F532=""),"",$F532-Overview!$B$3)</f>
        <v/>
      </c>
    </row>
    <row r="533" spans="4:11" x14ac:dyDescent="0.25">
      <c r="D533" s="18" t="str">
        <f>IF($C533="","",IFERROR(INDEX(Clients!$B$5:$B$1000,MATCH($C533,Clients!$A$5:$A$1000,0)),"Unknown client ID"))</f>
        <v/>
      </c>
      <c r="E533" s="16"/>
      <c r="F533" s="16"/>
      <c r="G533" s="17"/>
      <c r="J533" s="12" t="str">
        <f>IF($A533="","",IF(COUNTIFS(Tasks!$B$5:$B$1000,$A533,Tasks!$A$5:$A$1000,"&lt;&gt;")=0,0,COUNTIFS(Tasks!$B$5:$B$1000,$A533,Tasks!$A$5:$A$1000,"&lt;&gt;",Tasks!$D$5:$D$1000,"Done")/COUNTIFS(Tasks!$B$5:$B$1000,$A533,Tasks!$A$5:$A$1000,"&lt;&gt;")))</f>
        <v/>
      </c>
      <c r="K533" s="11" t="str">
        <f>IF(OR($A533="",$F533=""),"",$F533-Overview!$B$3)</f>
        <v/>
      </c>
    </row>
    <row r="534" spans="4:11" x14ac:dyDescent="0.25">
      <c r="D534" s="18" t="str">
        <f>IF($C534="","",IFERROR(INDEX(Clients!$B$5:$B$1000,MATCH($C534,Clients!$A$5:$A$1000,0)),"Unknown client ID"))</f>
        <v/>
      </c>
      <c r="E534" s="16"/>
      <c r="F534" s="16"/>
      <c r="G534" s="17"/>
      <c r="J534" s="12" t="str">
        <f>IF($A534="","",IF(COUNTIFS(Tasks!$B$5:$B$1000,$A534,Tasks!$A$5:$A$1000,"&lt;&gt;")=0,0,COUNTIFS(Tasks!$B$5:$B$1000,$A534,Tasks!$A$5:$A$1000,"&lt;&gt;",Tasks!$D$5:$D$1000,"Done")/COUNTIFS(Tasks!$B$5:$B$1000,$A534,Tasks!$A$5:$A$1000,"&lt;&gt;")))</f>
        <v/>
      </c>
      <c r="K534" s="11" t="str">
        <f>IF(OR($A534="",$F534=""),"",$F534-Overview!$B$3)</f>
        <v/>
      </c>
    </row>
    <row r="535" spans="4:11" x14ac:dyDescent="0.25">
      <c r="D535" s="18" t="str">
        <f>IF($C535="","",IFERROR(INDEX(Clients!$B$5:$B$1000,MATCH($C535,Clients!$A$5:$A$1000,0)),"Unknown client ID"))</f>
        <v/>
      </c>
      <c r="E535" s="16"/>
      <c r="F535" s="16"/>
      <c r="G535" s="17"/>
      <c r="J535" s="12" t="str">
        <f>IF($A535="","",IF(COUNTIFS(Tasks!$B$5:$B$1000,$A535,Tasks!$A$5:$A$1000,"&lt;&gt;")=0,0,COUNTIFS(Tasks!$B$5:$B$1000,$A535,Tasks!$A$5:$A$1000,"&lt;&gt;",Tasks!$D$5:$D$1000,"Done")/COUNTIFS(Tasks!$B$5:$B$1000,$A535,Tasks!$A$5:$A$1000,"&lt;&gt;")))</f>
        <v/>
      </c>
      <c r="K535" s="11" t="str">
        <f>IF(OR($A535="",$F535=""),"",$F535-Overview!$B$3)</f>
        <v/>
      </c>
    </row>
    <row r="536" spans="4:11" x14ac:dyDescent="0.25">
      <c r="D536" s="18" t="str">
        <f>IF($C536="","",IFERROR(INDEX(Clients!$B$5:$B$1000,MATCH($C536,Clients!$A$5:$A$1000,0)),"Unknown client ID"))</f>
        <v/>
      </c>
      <c r="E536" s="16"/>
      <c r="F536" s="16"/>
      <c r="G536" s="17"/>
      <c r="J536" s="12" t="str">
        <f>IF($A536="","",IF(COUNTIFS(Tasks!$B$5:$B$1000,$A536,Tasks!$A$5:$A$1000,"&lt;&gt;")=0,0,COUNTIFS(Tasks!$B$5:$B$1000,$A536,Tasks!$A$5:$A$1000,"&lt;&gt;",Tasks!$D$5:$D$1000,"Done")/COUNTIFS(Tasks!$B$5:$B$1000,$A536,Tasks!$A$5:$A$1000,"&lt;&gt;")))</f>
        <v/>
      </c>
      <c r="K536" s="11" t="str">
        <f>IF(OR($A536="",$F536=""),"",$F536-Overview!$B$3)</f>
        <v/>
      </c>
    </row>
    <row r="537" spans="4:11" x14ac:dyDescent="0.25">
      <c r="D537" s="18" t="str">
        <f>IF($C537="","",IFERROR(INDEX(Clients!$B$5:$B$1000,MATCH($C537,Clients!$A$5:$A$1000,0)),"Unknown client ID"))</f>
        <v/>
      </c>
      <c r="E537" s="16"/>
      <c r="F537" s="16"/>
      <c r="G537" s="17"/>
      <c r="J537" s="12" t="str">
        <f>IF($A537="","",IF(COUNTIFS(Tasks!$B$5:$B$1000,$A537,Tasks!$A$5:$A$1000,"&lt;&gt;")=0,0,COUNTIFS(Tasks!$B$5:$B$1000,$A537,Tasks!$A$5:$A$1000,"&lt;&gt;",Tasks!$D$5:$D$1000,"Done")/COUNTIFS(Tasks!$B$5:$B$1000,$A537,Tasks!$A$5:$A$1000,"&lt;&gt;")))</f>
        <v/>
      </c>
      <c r="K537" s="11" t="str">
        <f>IF(OR($A537="",$F537=""),"",$F537-Overview!$B$3)</f>
        <v/>
      </c>
    </row>
    <row r="538" spans="4:11" x14ac:dyDescent="0.25">
      <c r="D538" s="18" t="str">
        <f>IF($C538="","",IFERROR(INDEX(Clients!$B$5:$B$1000,MATCH($C538,Clients!$A$5:$A$1000,0)),"Unknown client ID"))</f>
        <v/>
      </c>
      <c r="E538" s="16"/>
      <c r="F538" s="16"/>
      <c r="G538" s="17"/>
      <c r="J538" s="12" t="str">
        <f>IF($A538="","",IF(COUNTIFS(Tasks!$B$5:$B$1000,$A538,Tasks!$A$5:$A$1000,"&lt;&gt;")=0,0,COUNTIFS(Tasks!$B$5:$B$1000,$A538,Tasks!$A$5:$A$1000,"&lt;&gt;",Tasks!$D$5:$D$1000,"Done")/COUNTIFS(Tasks!$B$5:$B$1000,$A538,Tasks!$A$5:$A$1000,"&lt;&gt;")))</f>
        <v/>
      </c>
      <c r="K538" s="11" t="str">
        <f>IF(OR($A538="",$F538=""),"",$F538-Overview!$B$3)</f>
        <v/>
      </c>
    </row>
    <row r="539" spans="4:11" x14ac:dyDescent="0.25">
      <c r="D539" s="18" t="str">
        <f>IF($C539="","",IFERROR(INDEX(Clients!$B$5:$B$1000,MATCH($C539,Clients!$A$5:$A$1000,0)),"Unknown client ID"))</f>
        <v/>
      </c>
      <c r="E539" s="16"/>
      <c r="F539" s="16"/>
      <c r="G539" s="17"/>
      <c r="J539" s="12" t="str">
        <f>IF($A539="","",IF(COUNTIFS(Tasks!$B$5:$B$1000,$A539,Tasks!$A$5:$A$1000,"&lt;&gt;")=0,0,COUNTIFS(Tasks!$B$5:$B$1000,$A539,Tasks!$A$5:$A$1000,"&lt;&gt;",Tasks!$D$5:$D$1000,"Done")/COUNTIFS(Tasks!$B$5:$B$1000,$A539,Tasks!$A$5:$A$1000,"&lt;&gt;")))</f>
        <v/>
      </c>
      <c r="K539" s="11" t="str">
        <f>IF(OR($A539="",$F539=""),"",$F539-Overview!$B$3)</f>
        <v/>
      </c>
    </row>
    <row r="540" spans="4:11" x14ac:dyDescent="0.25">
      <c r="D540" s="18" t="str">
        <f>IF($C540="","",IFERROR(INDEX(Clients!$B$5:$B$1000,MATCH($C540,Clients!$A$5:$A$1000,0)),"Unknown client ID"))</f>
        <v/>
      </c>
      <c r="E540" s="16"/>
      <c r="F540" s="16"/>
      <c r="G540" s="17"/>
      <c r="J540" s="12" t="str">
        <f>IF($A540="","",IF(COUNTIFS(Tasks!$B$5:$B$1000,$A540,Tasks!$A$5:$A$1000,"&lt;&gt;")=0,0,COUNTIFS(Tasks!$B$5:$B$1000,$A540,Tasks!$A$5:$A$1000,"&lt;&gt;",Tasks!$D$5:$D$1000,"Done")/COUNTIFS(Tasks!$B$5:$B$1000,$A540,Tasks!$A$5:$A$1000,"&lt;&gt;")))</f>
        <v/>
      </c>
      <c r="K540" s="11" t="str">
        <f>IF(OR($A540="",$F540=""),"",$F540-Overview!$B$3)</f>
        <v/>
      </c>
    </row>
    <row r="541" spans="4:11" x14ac:dyDescent="0.25">
      <c r="D541" s="18" t="str">
        <f>IF($C541="","",IFERROR(INDEX(Clients!$B$5:$B$1000,MATCH($C541,Clients!$A$5:$A$1000,0)),"Unknown client ID"))</f>
        <v/>
      </c>
      <c r="E541" s="16"/>
      <c r="F541" s="16"/>
      <c r="G541" s="17"/>
      <c r="J541" s="12" t="str">
        <f>IF($A541="","",IF(COUNTIFS(Tasks!$B$5:$B$1000,$A541,Tasks!$A$5:$A$1000,"&lt;&gt;")=0,0,COUNTIFS(Tasks!$B$5:$B$1000,$A541,Tasks!$A$5:$A$1000,"&lt;&gt;",Tasks!$D$5:$D$1000,"Done")/COUNTIFS(Tasks!$B$5:$B$1000,$A541,Tasks!$A$5:$A$1000,"&lt;&gt;")))</f>
        <v/>
      </c>
      <c r="K541" s="11" t="str">
        <f>IF(OR($A541="",$F541=""),"",$F541-Overview!$B$3)</f>
        <v/>
      </c>
    </row>
    <row r="542" spans="4:11" x14ac:dyDescent="0.25">
      <c r="D542" s="18" t="str">
        <f>IF($C542="","",IFERROR(INDEX(Clients!$B$5:$B$1000,MATCH($C542,Clients!$A$5:$A$1000,0)),"Unknown client ID"))</f>
        <v/>
      </c>
      <c r="E542" s="16"/>
      <c r="F542" s="16"/>
      <c r="G542" s="17"/>
      <c r="J542" s="12" t="str">
        <f>IF($A542="","",IF(COUNTIFS(Tasks!$B$5:$B$1000,$A542,Tasks!$A$5:$A$1000,"&lt;&gt;")=0,0,COUNTIFS(Tasks!$B$5:$B$1000,$A542,Tasks!$A$5:$A$1000,"&lt;&gt;",Tasks!$D$5:$D$1000,"Done")/COUNTIFS(Tasks!$B$5:$B$1000,$A542,Tasks!$A$5:$A$1000,"&lt;&gt;")))</f>
        <v/>
      </c>
      <c r="K542" s="11" t="str">
        <f>IF(OR($A542="",$F542=""),"",$F542-Overview!$B$3)</f>
        <v/>
      </c>
    </row>
    <row r="543" spans="4:11" x14ac:dyDescent="0.25">
      <c r="D543" s="18" t="str">
        <f>IF($C543="","",IFERROR(INDEX(Clients!$B$5:$B$1000,MATCH($C543,Clients!$A$5:$A$1000,0)),"Unknown client ID"))</f>
        <v/>
      </c>
      <c r="E543" s="16"/>
      <c r="F543" s="16"/>
      <c r="G543" s="17"/>
      <c r="J543" s="12" t="str">
        <f>IF($A543="","",IF(COUNTIFS(Tasks!$B$5:$B$1000,$A543,Tasks!$A$5:$A$1000,"&lt;&gt;")=0,0,COUNTIFS(Tasks!$B$5:$B$1000,$A543,Tasks!$A$5:$A$1000,"&lt;&gt;",Tasks!$D$5:$D$1000,"Done")/COUNTIFS(Tasks!$B$5:$B$1000,$A543,Tasks!$A$5:$A$1000,"&lt;&gt;")))</f>
        <v/>
      </c>
      <c r="K543" s="11" t="str">
        <f>IF(OR($A543="",$F543=""),"",$F543-Overview!$B$3)</f>
        <v/>
      </c>
    </row>
    <row r="544" spans="4:11" x14ac:dyDescent="0.25">
      <c r="D544" s="18" t="str">
        <f>IF($C544="","",IFERROR(INDEX(Clients!$B$5:$B$1000,MATCH($C544,Clients!$A$5:$A$1000,0)),"Unknown client ID"))</f>
        <v/>
      </c>
      <c r="E544" s="16"/>
      <c r="F544" s="16"/>
      <c r="G544" s="17"/>
      <c r="J544" s="12" t="str">
        <f>IF($A544="","",IF(COUNTIFS(Tasks!$B$5:$B$1000,$A544,Tasks!$A$5:$A$1000,"&lt;&gt;")=0,0,COUNTIFS(Tasks!$B$5:$B$1000,$A544,Tasks!$A$5:$A$1000,"&lt;&gt;",Tasks!$D$5:$D$1000,"Done")/COUNTIFS(Tasks!$B$5:$B$1000,$A544,Tasks!$A$5:$A$1000,"&lt;&gt;")))</f>
        <v/>
      </c>
      <c r="K544" s="11" t="str">
        <f>IF(OR($A544="",$F544=""),"",$F544-Overview!$B$3)</f>
        <v/>
      </c>
    </row>
    <row r="545" spans="4:11" x14ac:dyDescent="0.25">
      <c r="D545" s="18" t="str">
        <f>IF($C545="","",IFERROR(INDEX(Clients!$B$5:$B$1000,MATCH($C545,Clients!$A$5:$A$1000,0)),"Unknown client ID"))</f>
        <v/>
      </c>
      <c r="E545" s="16"/>
      <c r="F545" s="16"/>
      <c r="G545" s="17"/>
      <c r="J545" s="12" t="str">
        <f>IF($A545="","",IF(COUNTIFS(Tasks!$B$5:$B$1000,$A545,Tasks!$A$5:$A$1000,"&lt;&gt;")=0,0,COUNTIFS(Tasks!$B$5:$B$1000,$A545,Tasks!$A$5:$A$1000,"&lt;&gt;",Tasks!$D$5:$D$1000,"Done")/COUNTIFS(Tasks!$B$5:$B$1000,$A545,Tasks!$A$5:$A$1000,"&lt;&gt;")))</f>
        <v/>
      </c>
      <c r="K545" s="11" t="str">
        <f>IF(OR($A545="",$F545=""),"",$F545-Overview!$B$3)</f>
        <v/>
      </c>
    </row>
    <row r="546" spans="4:11" x14ac:dyDescent="0.25">
      <c r="D546" s="18" t="str">
        <f>IF($C546="","",IFERROR(INDEX(Clients!$B$5:$B$1000,MATCH($C546,Clients!$A$5:$A$1000,0)),"Unknown client ID"))</f>
        <v/>
      </c>
      <c r="E546" s="16"/>
      <c r="F546" s="16"/>
      <c r="G546" s="17"/>
      <c r="J546" s="12" t="str">
        <f>IF($A546="","",IF(COUNTIFS(Tasks!$B$5:$B$1000,$A546,Tasks!$A$5:$A$1000,"&lt;&gt;")=0,0,COUNTIFS(Tasks!$B$5:$B$1000,$A546,Tasks!$A$5:$A$1000,"&lt;&gt;",Tasks!$D$5:$D$1000,"Done")/COUNTIFS(Tasks!$B$5:$B$1000,$A546,Tasks!$A$5:$A$1000,"&lt;&gt;")))</f>
        <v/>
      </c>
      <c r="K546" s="11" t="str">
        <f>IF(OR($A546="",$F546=""),"",$F546-Overview!$B$3)</f>
        <v/>
      </c>
    </row>
    <row r="547" spans="4:11" x14ac:dyDescent="0.25">
      <c r="D547" s="18" t="str">
        <f>IF($C547="","",IFERROR(INDEX(Clients!$B$5:$B$1000,MATCH($C547,Clients!$A$5:$A$1000,0)),"Unknown client ID"))</f>
        <v/>
      </c>
      <c r="E547" s="16"/>
      <c r="F547" s="16"/>
      <c r="G547" s="17"/>
      <c r="J547" s="12" t="str">
        <f>IF($A547="","",IF(COUNTIFS(Tasks!$B$5:$B$1000,$A547,Tasks!$A$5:$A$1000,"&lt;&gt;")=0,0,COUNTIFS(Tasks!$B$5:$B$1000,$A547,Tasks!$A$5:$A$1000,"&lt;&gt;",Tasks!$D$5:$D$1000,"Done")/COUNTIFS(Tasks!$B$5:$B$1000,$A547,Tasks!$A$5:$A$1000,"&lt;&gt;")))</f>
        <v/>
      </c>
      <c r="K547" s="11" t="str">
        <f>IF(OR($A547="",$F547=""),"",$F547-Overview!$B$3)</f>
        <v/>
      </c>
    </row>
    <row r="548" spans="4:11" x14ac:dyDescent="0.25">
      <c r="D548" s="18" t="str">
        <f>IF($C548="","",IFERROR(INDEX(Clients!$B$5:$B$1000,MATCH($C548,Clients!$A$5:$A$1000,0)),"Unknown client ID"))</f>
        <v/>
      </c>
      <c r="E548" s="16"/>
      <c r="F548" s="16"/>
      <c r="G548" s="17"/>
      <c r="J548" s="12" t="str">
        <f>IF($A548="","",IF(COUNTIFS(Tasks!$B$5:$B$1000,$A548,Tasks!$A$5:$A$1000,"&lt;&gt;")=0,0,COUNTIFS(Tasks!$B$5:$B$1000,$A548,Tasks!$A$5:$A$1000,"&lt;&gt;",Tasks!$D$5:$D$1000,"Done")/COUNTIFS(Tasks!$B$5:$B$1000,$A548,Tasks!$A$5:$A$1000,"&lt;&gt;")))</f>
        <v/>
      </c>
      <c r="K548" s="11" t="str">
        <f>IF(OR($A548="",$F548=""),"",$F548-Overview!$B$3)</f>
        <v/>
      </c>
    </row>
    <row r="549" spans="4:11" x14ac:dyDescent="0.25">
      <c r="D549" s="18" t="str">
        <f>IF($C549="","",IFERROR(INDEX(Clients!$B$5:$B$1000,MATCH($C549,Clients!$A$5:$A$1000,0)),"Unknown client ID"))</f>
        <v/>
      </c>
      <c r="E549" s="16"/>
      <c r="F549" s="16"/>
      <c r="G549" s="17"/>
      <c r="J549" s="12" t="str">
        <f>IF($A549="","",IF(COUNTIFS(Tasks!$B$5:$B$1000,$A549,Tasks!$A$5:$A$1000,"&lt;&gt;")=0,0,COUNTIFS(Tasks!$B$5:$B$1000,$A549,Tasks!$A$5:$A$1000,"&lt;&gt;",Tasks!$D$5:$D$1000,"Done")/COUNTIFS(Tasks!$B$5:$B$1000,$A549,Tasks!$A$5:$A$1000,"&lt;&gt;")))</f>
        <v/>
      </c>
      <c r="K549" s="11" t="str">
        <f>IF(OR($A549="",$F549=""),"",$F549-Overview!$B$3)</f>
        <v/>
      </c>
    </row>
    <row r="550" spans="4:11" x14ac:dyDescent="0.25">
      <c r="D550" s="18" t="str">
        <f>IF($C550="","",IFERROR(INDEX(Clients!$B$5:$B$1000,MATCH($C550,Clients!$A$5:$A$1000,0)),"Unknown client ID"))</f>
        <v/>
      </c>
      <c r="E550" s="16"/>
      <c r="F550" s="16"/>
      <c r="G550" s="17"/>
      <c r="J550" s="12" t="str">
        <f>IF($A550="","",IF(COUNTIFS(Tasks!$B$5:$B$1000,$A550,Tasks!$A$5:$A$1000,"&lt;&gt;")=0,0,COUNTIFS(Tasks!$B$5:$B$1000,$A550,Tasks!$A$5:$A$1000,"&lt;&gt;",Tasks!$D$5:$D$1000,"Done")/COUNTIFS(Tasks!$B$5:$B$1000,$A550,Tasks!$A$5:$A$1000,"&lt;&gt;")))</f>
        <v/>
      </c>
      <c r="K550" s="11" t="str">
        <f>IF(OR($A550="",$F550=""),"",$F550-Overview!$B$3)</f>
        <v/>
      </c>
    </row>
    <row r="551" spans="4:11" x14ac:dyDescent="0.25">
      <c r="D551" s="18" t="str">
        <f>IF($C551="","",IFERROR(INDEX(Clients!$B$5:$B$1000,MATCH($C551,Clients!$A$5:$A$1000,0)),"Unknown client ID"))</f>
        <v/>
      </c>
      <c r="E551" s="16"/>
      <c r="F551" s="16"/>
      <c r="G551" s="17"/>
      <c r="J551" s="12" t="str">
        <f>IF($A551="","",IF(COUNTIFS(Tasks!$B$5:$B$1000,$A551,Tasks!$A$5:$A$1000,"&lt;&gt;")=0,0,COUNTIFS(Tasks!$B$5:$B$1000,$A551,Tasks!$A$5:$A$1000,"&lt;&gt;",Tasks!$D$5:$D$1000,"Done")/COUNTIFS(Tasks!$B$5:$B$1000,$A551,Tasks!$A$5:$A$1000,"&lt;&gt;")))</f>
        <v/>
      </c>
      <c r="K551" s="11" t="str">
        <f>IF(OR($A551="",$F551=""),"",$F551-Overview!$B$3)</f>
        <v/>
      </c>
    </row>
    <row r="552" spans="4:11" x14ac:dyDescent="0.25">
      <c r="D552" s="18" t="str">
        <f>IF($C552="","",IFERROR(INDEX(Clients!$B$5:$B$1000,MATCH($C552,Clients!$A$5:$A$1000,0)),"Unknown client ID"))</f>
        <v/>
      </c>
      <c r="E552" s="16"/>
      <c r="F552" s="16"/>
      <c r="G552" s="17"/>
      <c r="J552" s="12" t="str">
        <f>IF($A552="","",IF(COUNTIFS(Tasks!$B$5:$B$1000,$A552,Tasks!$A$5:$A$1000,"&lt;&gt;")=0,0,COUNTIFS(Tasks!$B$5:$B$1000,$A552,Tasks!$A$5:$A$1000,"&lt;&gt;",Tasks!$D$5:$D$1000,"Done")/COUNTIFS(Tasks!$B$5:$B$1000,$A552,Tasks!$A$5:$A$1000,"&lt;&gt;")))</f>
        <v/>
      </c>
      <c r="K552" s="11" t="str">
        <f>IF(OR($A552="",$F552=""),"",$F552-Overview!$B$3)</f>
        <v/>
      </c>
    </row>
    <row r="553" spans="4:11" x14ac:dyDescent="0.25">
      <c r="D553" s="18" t="str">
        <f>IF($C553="","",IFERROR(INDEX(Clients!$B$5:$B$1000,MATCH($C553,Clients!$A$5:$A$1000,0)),"Unknown client ID"))</f>
        <v/>
      </c>
      <c r="E553" s="16"/>
      <c r="F553" s="16"/>
      <c r="G553" s="17"/>
      <c r="J553" s="12" t="str">
        <f>IF($A553="","",IF(COUNTIFS(Tasks!$B$5:$B$1000,$A553,Tasks!$A$5:$A$1000,"&lt;&gt;")=0,0,COUNTIFS(Tasks!$B$5:$B$1000,$A553,Tasks!$A$5:$A$1000,"&lt;&gt;",Tasks!$D$5:$D$1000,"Done")/COUNTIFS(Tasks!$B$5:$B$1000,$A553,Tasks!$A$5:$A$1000,"&lt;&gt;")))</f>
        <v/>
      </c>
      <c r="K553" s="11" t="str">
        <f>IF(OR($A553="",$F553=""),"",$F553-Overview!$B$3)</f>
        <v/>
      </c>
    </row>
    <row r="554" spans="4:11" x14ac:dyDescent="0.25">
      <c r="D554" s="18" t="str">
        <f>IF($C554="","",IFERROR(INDEX(Clients!$B$5:$B$1000,MATCH($C554,Clients!$A$5:$A$1000,0)),"Unknown client ID"))</f>
        <v/>
      </c>
      <c r="E554" s="16"/>
      <c r="F554" s="16"/>
      <c r="G554" s="17"/>
      <c r="J554" s="12" t="str">
        <f>IF($A554="","",IF(COUNTIFS(Tasks!$B$5:$B$1000,$A554,Tasks!$A$5:$A$1000,"&lt;&gt;")=0,0,COUNTIFS(Tasks!$B$5:$B$1000,$A554,Tasks!$A$5:$A$1000,"&lt;&gt;",Tasks!$D$5:$D$1000,"Done")/COUNTIFS(Tasks!$B$5:$B$1000,$A554,Tasks!$A$5:$A$1000,"&lt;&gt;")))</f>
        <v/>
      </c>
      <c r="K554" s="11" t="str">
        <f>IF(OR($A554="",$F554=""),"",$F554-Overview!$B$3)</f>
        <v/>
      </c>
    </row>
    <row r="555" spans="4:11" x14ac:dyDescent="0.25">
      <c r="D555" s="18" t="str">
        <f>IF($C555="","",IFERROR(INDEX(Clients!$B$5:$B$1000,MATCH($C555,Clients!$A$5:$A$1000,0)),"Unknown client ID"))</f>
        <v/>
      </c>
      <c r="E555" s="16"/>
      <c r="F555" s="16"/>
      <c r="G555" s="17"/>
      <c r="J555" s="12" t="str">
        <f>IF($A555="","",IF(COUNTIFS(Tasks!$B$5:$B$1000,$A555,Tasks!$A$5:$A$1000,"&lt;&gt;")=0,0,COUNTIFS(Tasks!$B$5:$B$1000,$A555,Tasks!$A$5:$A$1000,"&lt;&gt;",Tasks!$D$5:$D$1000,"Done")/COUNTIFS(Tasks!$B$5:$B$1000,$A555,Tasks!$A$5:$A$1000,"&lt;&gt;")))</f>
        <v/>
      </c>
      <c r="K555" s="11" t="str">
        <f>IF(OR($A555="",$F555=""),"",$F555-Overview!$B$3)</f>
        <v/>
      </c>
    </row>
    <row r="556" spans="4:11" x14ac:dyDescent="0.25">
      <c r="D556" s="18" t="str">
        <f>IF($C556="","",IFERROR(INDEX(Clients!$B$5:$B$1000,MATCH($C556,Clients!$A$5:$A$1000,0)),"Unknown client ID"))</f>
        <v/>
      </c>
      <c r="E556" s="16"/>
      <c r="F556" s="16"/>
      <c r="G556" s="17"/>
      <c r="J556" s="12" t="str">
        <f>IF($A556="","",IF(COUNTIFS(Tasks!$B$5:$B$1000,$A556,Tasks!$A$5:$A$1000,"&lt;&gt;")=0,0,COUNTIFS(Tasks!$B$5:$B$1000,$A556,Tasks!$A$5:$A$1000,"&lt;&gt;",Tasks!$D$5:$D$1000,"Done")/COUNTIFS(Tasks!$B$5:$B$1000,$A556,Tasks!$A$5:$A$1000,"&lt;&gt;")))</f>
        <v/>
      </c>
      <c r="K556" s="11" t="str">
        <f>IF(OR($A556="",$F556=""),"",$F556-Overview!$B$3)</f>
        <v/>
      </c>
    </row>
    <row r="557" spans="4:11" x14ac:dyDescent="0.25">
      <c r="D557" s="18" t="str">
        <f>IF($C557="","",IFERROR(INDEX(Clients!$B$5:$B$1000,MATCH($C557,Clients!$A$5:$A$1000,0)),"Unknown client ID"))</f>
        <v/>
      </c>
      <c r="E557" s="16"/>
      <c r="F557" s="16"/>
      <c r="G557" s="17"/>
      <c r="J557" s="12" t="str">
        <f>IF($A557="","",IF(COUNTIFS(Tasks!$B$5:$B$1000,$A557,Tasks!$A$5:$A$1000,"&lt;&gt;")=0,0,COUNTIFS(Tasks!$B$5:$B$1000,$A557,Tasks!$A$5:$A$1000,"&lt;&gt;",Tasks!$D$5:$D$1000,"Done")/COUNTIFS(Tasks!$B$5:$B$1000,$A557,Tasks!$A$5:$A$1000,"&lt;&gt;")))</f>
        <v/>
      </c>
      <c r="K557" s="11" t="str">
        <f>IF(OR($A557="",$F557=""),"",$F557-Overview!$B$3)</f>
        <v/>
      </c>
    </row>
    <row r="558" spans="4:11" x14ac:dyDescent="0.25">
      <c r="D558" s="18" t="str">
        <f>IF($C558="","",IFERROR(INDEX(Clients!$B$5:$B$1000,MATCH($C558,Clients!$A$5:$A$1000,0)),"Unknown client ID"))</f>
        <v/>
      </c>
      <c r="E558" s="16"/>
      <c r="F558" s="16"/>
      <c r="G558" s="17"/>
      <c r="J558" s="12" t="str">
        <f>IF($A558="","",IF(COUNTIFS(Tasks!$B$5:$B$1000,$A558,Tasks!$A$5:$A$1000,"&lt;&gt;")=0,0,COUNTIFS(Tasks!$B$5:$B$1000,$A558,Tasks!$A$5:$A$1000,"&lt;&gt;",Tasks!$D$5:$D$1000,"Done")/COUNTIFS(Tasks!$B$5:$B$1000,$A558,Tasks!$A$5:$A$1000,"&lt;&gt;")))</f>
        <v/>
      </c>
      <c r="K558" s="11" t="str">
        <f>IF(OR($A558="",$F558=""),"",$F558-Overview!$B$3)</f>
        <v/>
      </c>
    </row>
    <row r="559" spans="4:11" x14ac:dyDescent="0.25">
      <c r="D559" s="18" t="str">
        <f>IF($C559="","",IFERROR(INDEX(Clients!$B$5:$B$1000,MATCH($C559,Clients!$A$5:$A$1000,0)),"Unknown client ID"))</f>
        <v/>
      </c>
      <c r="E559" s="16"/>
      <c r="F559" s="16"/>
      <c r="G559" s="17"/>
      <c r="J559" s="12" t="str">
        <f>IF($A559="","",IF(COUNTIFS(Tasks!$B$5:$B$1000,$A559,Tasks!$A$5:$A$1000,"&lt;&gt;")=0,0,COUNTIFS(Tasks!$B$5:$B$1000,$A559,Tasks!$A$5:$A$1000,"&lt;&gt;",Tasks!$D$5:$D$1000,"Done")/COUNTIFS(Tasks!$B$5:$B$1000,$A559,Tasks!$A$5:$A$1000,"&lt;&gt;")))</f>
        <v/>
      </c>
      <c r="K559" s="11" t="str">
        <f>IF(OR($A559="",$F559=""),"",$F559-Overview!$B$3)</f>
        <v/>
      </c>
    </row>
    <row r="560" spans="4:11" x14ac:dyDescent="0.25">
      <c r="D560" s="18" t="str">
        <f>IF($C560="","",IFERROR(INDEX(Clients!$B$5:$B$1000,MATCH($C560,Clients!$A$5:$A$1000,0)),"Unknown client ID"))</f>
        <v/>
      </c>
      <c r="E560" s="16"/>
      <c r="F560" s="16"/>
      <c r="G560" s="17"/>
      <c r="J560" s="12" t="str">
        <f>IF($A560="","",IF(COUNTIFS(Tasks!$B$5:$B$1000,$A560,Tasks!$A$5:$A$1000,"&lt;&gt;")=0,0,COUNTIFS(Tasks!$B$5:$B$1000,$A560,Tasks!$A$5:$A$1000,"&lt;&gt;",Tasks!$D$5:$D$1000,"Done")/COUNTIFS(Tasks!$B$5:$B$1000,$A560,Tasks!$A$5:$A$1000,"&lt;&gt;")))</f>
        <v/>
      </c>
      <c r="K560" s="11" t="str">
        <f>IF(OR($A560="",$F560=""),"",$F560-Overview!$B$3)</f>
        <v/>
      </c>
    </row>
    <row r="561" spans="4:11" x14ac:dyDescent="0.25">
      <c r="D561" s="18" t="str">
        <f>IF($C561="","",IFERROR(INDEX(Clients!$B$5:$B$1000,MATCH($C561,Clients!$A$5:$A$1000,0)),"Unknown client ID"))</f>
        <v/>
      </c>
      <c r="E561" s="16"/>
      <c r="F561" s="16"/>
      <c r="G561" s="17"/>
      <c r="J561" s="12" t="str">
        <f>IF($A561="","",IF(COUNTIFS(Tasks!$B$5:$B$1000,$A561,Tasks!$A$5:$A$1000,"&lt;&gt;")=0,0,COUNTIFS(Tasks!$B$5:$B$1000,$A561,Tasks!$A$5:$A$1000,"&lt;&gt;",Tasks!$D$5:$D$1000,"Done")/COUNTIFS(Tasks!$B$5:$B$1000,$A561,Tasks!$A$5:$A$1000,"&lt;&gt;")))</f>
        <v/>
      </c>
      <c r="K561" s="11" t="str">
        <f>IF(OR($A561="",$F561=""),"",$F561-Overview!$B$3)</f>
        <v/>
      </c>
    </row>
    <row r="562" spans="4:11" x14ac:dyDescent="0.25">
      <c r="D562" s="18" t="str">
        <f>IF($C562="","",IFERROR(INDEX(Clients!$B$5:$B$1000,MATCH($C562,Clients!$A$5:$A$1000,0)),"Unknown client ID"))</f>
        <v/>
      </c>
      <c r="E562" s="16"/>
      <c r="F562" s="16"/>
      <c r="G562" s="17"/>
      <c r="J562" s="12" t="str">
        <f>IF($A562="","",IF(COUNTIFS(Tasks!$B$5:$B$1000,$A562,Tasks!$A$5:$A$1000,"&lt;&gt;")=0,0,COUNTIFS(Tasks!$B$5:$B$1000,$A562,Tasks!$A$5:$A$1000,"&lt;&gt;",Tasks!$D$5:$D$1000,"Done")/COUNTIFS(Tasks!$B$5:$B$1000,$A562,Tasks!$A$5:$A$1000,"&lt;&gt;")))</f>
        <v/>
      </c>
      <c r="K562" s="11" t="str">
        <f>IF(OR($A562="",$F562=""),"",$F562-Overview!$B$3)</f>
        <v/>
      </c>
    </row>
    <row r="563" spans="4:11" x14ac:dyDescent="0.25">
      <c r="D563" s="18" t="str">
        <f>IF($C563="","",IFERROR(INDEX(Clients!$B$5:$B$1000,MATCH($C563,Clients!$A$5:$A$1000,0)),"Unknown client ID"))</f>
        <v/>
      </c>
      <c r="E563" s="16"/>
      <c r="F563" s="16"/>
      <c r="G563" s="17"/>
      <c r="J563" s="12" t="str">
        <f>IF($A563="","",IF(COUNTIFS(Tasks!$B$5:$B$1000,$A563,Tasks!$A$5:$A$1000,"&lt;&gt;")=0,0,COUNTIFS(Tasks!$B$5:$B$1000,$A563,Tasks!$A$5:$A$1000,"&lt;&gt;",Tasks!$D$5:$D$1000,"Done")/COUNTIFS(Tasks!$B$5:$B$1000,$A563,Tasks!$A$5:$A$1000,"&lt;&gt;")))</f>
        <v/>
      </c>
      <c r="K563" s="11" t="str">
        <f>IF(OR($A563="",$F563=""),"",$F563-Overview!$B$3)</f>
        <v/>
      </c>
    </row>
    <row r="564" spans="4:11" x14ac:dyDescent="0.25">
      <c r="D564" s="18" t="str">
        <f>IF($C564="","",IFERROR(INDEX(Clients!$B$5:$B$1000,MATCH($C564,Clients!$A$5:$A$1000,0)),"Unknown client ID"))</f>
        <v/>
      </c>
      <c r="E564" s="16"/>
      <c r="F564" s="16"/>
      <c r="G564" s="17"/>
      <c r="J564" s="12" t="str">
        <f>IF($A564="","",IF(COUNTIFS(Tasks!$B$5:$B$1000,$A564,Tasks!$A$5:$A$1000,"&lt;&gt;")=0,0,COUNTIFS(Tasks!$B$5:$B$1000,$A564,Tasks!$A$5:$A$1000,"&lt;&gt;",Tasks!$D$5:$D$1000,"Done")/COUNTIFS(Tasks!$B$5:$B$1000,$A564,Tasks!$A$5:$A$1000,"&lt;&gt;")))</f>
        <v/>
      </c>
      <c r="K564" s="11" t="str">
        <f>IF(OR($A564="",$F564=""),"",$F564-Overview!$B$3)</f>
        <v/>
      </c>
    </row>
    <row r="565" spans="4:11" x14ac:dyDescent="0.25">
      <c r="D565" s="18" t="str">
        <f>IF($C565="","",IFERROR(INDEX(Clients!$B$5:$B$1000,MATCH($C565,Clients!$A$5:$A$1000,0)),"Unknown client ID"))</f>
        <v/>
      </c>
      <c r="E565" s="16"/>
      <c r="F565" s="16"/>
      <c r="G565" s="17"/>
      <c r="J565" s="12" t="str">
        <f>IF($A565="","",IF(COUNTIFS(Tasks!$B$5:$B$1000,$A565,Tasks!$A$5:$A$1000,"&lt;&gt;")=0,0,COUNTIFS(Tasks!$B$5:$B$1000,$A565,Tasks!$A$5:$A$1000,"&lt;&gt;",Tasks!$D$5:$D$1000,"Done")/COUNTIFS(Tasks!$B$5:$B$1000,$A565,Tasks!$A$5:$A$1000,"&lt;&gt;")))</f>
        <v/>
      </c>
      <c r="K565" s="11" t="str">
        <f>IF(OR($A565="",$F565=""),"",$F565-Overview!$B$3)</f>
        <v/>
      </c>
    </row>
    <row r="566" spans="4:11" x14ac:dyDescent="0.25">
      <c r="D566" s="18" t="str">
        <f>IF($C566="","",IFERROR(INDEX(Clients!$B$5:$B$1000,MATCH($C566,Clients!$A$5:$A$1000,0)),"Unknown client ID"))</f>
        <v/>
      </c>
      <c r="E566" s="16"/>
      <c r="F566" s="16"/>
      <c r="G566" s="17"/>
      <c r="J566" s="12" t="str">
        <f>IF($A566="","",IF(COUNTIFS(Tasks!$B$5:$B$1000,$A566,Tasks!$A$5:$A$1000,"&lt;&gt;")=0,0,COUNTIFS(Tasks!$B$5:$B$1000,$A566,Tasks!$A$5:$A$1000,"&lt;&gt;",Tasks!$D$5:$D$1000,"Done")/COUNTIFS(Tasks!$B$5:$B$1000,$A566,Tasks!$A$5:$A$1000,"&lt;&gt;")))</f>
        <v/>
      </c>
      <c r="K566" s="11" t="str">
        <f>IF(OR($A566="",$F566=""),"",$F566-Overview!$B$3)</f>
        <v/>
      </c>
    </row>
    <row r="567" spans="4:11" x14ac:dyDescent="0.25">
      <c r="D567" s="18" t="str">
        <f>IF($C567="","",IFERROR(INDEX(Clients!$B$5:$B$1000,MATCH($C567,Clients!$A$5:$A$1000,0)),"Unknown client ID"))</f>
        <v/>
      </c>
      <c r="E567" s="16"/>
      <c r="F567" s="16"/>
      <c r="G567" s="17"/>
      <c r="J567" s="12" t="str">
        <f>IF($A567="","",IF(COUNTIFS(Tasks!$B$5:$B$1000,$A567,Tasks!$A$5:$A$1000,"&lt;&gt;")=0,0,COUNTIFS(Tasks!$B$5:$B$1000,$A567,Tasks!$A$5:$A$1000,"&lt;&gt;",Tasks!$D$5:$D$1000,"Done")/COUNTIFS(Tasks!$B$5:$B$1000,$A567,Tasks!$A$5:$A$1000,"&lt;&gt;")))</f>
        <v/>
      </c>
      <c r="K567" s="11" t="str">
        <f>IF(OR($A567="",$F567=""),"",$F567-Overview!$B$3)</f>
        <v/>
      </c>
    </row>
    <row r="568" spans="4:11" x14ac:dyDescent="0.25">
      <c r="D568" s="18" t="str">
        <f>IF($C568="","",IFERROR(INDEX(Clients!$B$5:$B$1000,MATCH($C568,Clients!$A$5:$A$1000,0)),"Unknown client ID"))</f>
        <v/>
      </c>
      <c r="E568" s="16"/>
      <c r="F568" s="16"/>
      <c r="G568" s="17"/>
      <c r="J568" s="12" t="str">
        <f>IF($A568="","",IF(COUNTIFS(Tasks!$B$5:$B$1000,$A568,Tasks!$A$5:$A$1000,"&lt;&gt;")=0,0,COUNTIFS(Tasks!$B$5:$B$1000,$A568,Tasks!$A$5:$A$1000,"&lt;&gt;",Tasks!$D$5:$D$1000,"Done")/COUNTIFS(Tasks!$B$5:$B$1000,$A568,Tasks!$A$5:$A$1000,"&lt;&gt;")))</f>
        <v/>
      </c>
      <c r="K568" s="11" t="str">
        <f>IF(OR($A568="",$F568=""),"",$F568-Overview!$B$3)</f>
        <v/>
      </c>
    </row>
    <row r="569" spans="4:11" x14ac:dyDescent="0.25">
      <c r="D569" s="18" t="str">
        <f>IF($C569="","",IFERROR(INDEX(Clients!$B$5:$B$1000,MATCH($C569,Clients!$A$5:$A$1000,0)),"Unknown client ID"))</f>
        <v/>
      </c>
      <c r="E569" s="16"/>
      <c r="F569" s="16"/>
      <c r="G569" s="17"/>
      <c r="J569" s="12" t="str">
        <f>IF($A569="","",IF(COUNTIFS(Tasks!$B$5:$B$1000,$A569,Tasks!$A$5:$A$1000,"&lt;&gt;")=0,0,COUNTIFS(Tasks!$B$5:$B$1000,$A569,Tasks!$A$5:$A$1000,"&lt;&gt;",Tasks!$D$5:$D$1000,"Done")/COUNTIFS(Tasks!$B$5:$B$1000,$A569,Tasks!$A$5:$A$1000,"&lt;&gt;")))</f>
        <v/>
      </c>
      <c r="K569" s="11" t="str">
        <f>IF(OR($A569="",$F569=""),"",$F569-Overview!$B$3)</f>
        <v/>
      </c>
    </row>
    <row r="570" spans="4:11" x14ac:dyDescent="0.25">
      <c r="D570" s="18" t="str">
        <f>IF($C570="","",IFERROR(INDEX(Clients!$B$5:$B$1000,MATCH($C570,Clients!$A$5:$A$1000,0)),"Unknown client ID"))</f>
        <v/>
      </c>
      <c r="E570" s="16"/>
      <c r="F570" s="16"/>
      <c r="G570" s="17"/>
      <c r="J570" s="12" t="str">
        <f>IF($A570="","",IF(COUNTIFS(Tasks!$B$5:$B$1000,$A570,Tasks!$A$5:$A$1000,"&lt;&gt;")=0,0,COUNTIFS(Tasks!$B$5:$B$1000,$A570,Tasks!$A$5:$A$1000,"&lt;&gt;",Tasks!$D$5:$D$1000,"Done")/COUNTIFS(Tasks!$B$5:$B$1000,$A570,Tasks!$A$5:$A$1000,"&lt;&gt;")))</f>
        <v/>
      </c>
      <c r="K570" s="11" t="str">
        <f>IF(OR($A570="",$F570=""),"",$F570-Overview!$B$3)</f>
        <v/>
      </c>
    </row>
    <row r="571" spans="4:11" x14ac:dyDescent="0.25">
      <c r="D571" s="18" t="str">
        <f>IF($C571="","",IFERROR(INDEX(Clients!$B$5:$B$1000,MATCH($C571,Clients!$A$5:$A$1000,0)),"Unknown client ID"))</f>
        <v/>
      </c>
      <c r="E571" s="16"/>
      <c r="F571" s="16"/>
      <c r="G571" s="17"/>
      <c r="J571" s="12" t="str">
        <f>IF($A571="","",IF(COUNTIFS(Tasks!$B$5:$B$1000,$A571,Tasks!$A$5:$A$1000,"&lt;&gt;")=0,0,COUNTIFS(Tasks!$B$5:$B$1000,$A571,Tasks!$A$5:$A$1000,"&lt;&gt;",Tasks!$D$5:$D$1000,"Done")/COUNTIFS(Tasks!$B$5:$B$1000,$A571,Tasks!$A$5:$A$1000,"&lt;&gt;")))</f>
        <v/>
      </c>
      <c r="K571" s="11" t="str">
        <f>IF(OR($A571="",$F571=""),"",$F571-Overview!$B$3)</f>
        <v/>
      </c>
    </row>
    <row r="572" spans="4:11" x14ac:dyDescent="0.25">
      <c r="D572" s="18" t="str">
        <f>IF($C572="","",IFERROR(INDEX(Clients!$B$5:$B$1000,MATCH($C572,Clients!$A$5:$A$1000,0)),"Unknown client ID"))</f>
        <v/>
      </c>
      <c r="E572" s="16"/>
      <c r="F572" s="16"/>
      <c r="G572" s="17"/>
      <c r="J572" s="12" t="str">
        <f>IF($A572="","",IF(COUNTIFS(Tasks!$B$5:$B$1000,$A572,Tasks!$A$5:$A$1000,"&lt;&gt;")=0,0,COUNTIFS(Tasks!$B$5:$B$1000,$A572,Tasks!$A$5:$A$1000,"&lt;&gt;",Tasks!$D$5:$D$1000,"Done")/COUNTIFS(Tasks!$B$5:$B$1000,$A572,Tasks!$A$5:$A$1000,"&lt;&gt;")))</f>
        <v/>
      </c>
      <c r="K572" s="11" t="str">
        <f>IF(OR($A572="",$F572=""),"",$F572-Overview!$B$3)</f>
        <v/>
      </c>
    </row>
    <row r="573" spans="4:11" x14ac:dyDescent="0.25">
      <c r="D573" s="18" t="str">
        <f>IF($C573="","",IFERROR(INDEX(Clients!$B$5:$B$1000,MATCH($C573,Clients!$A$5:$A$1000,0)),"Unknown client ID"))</f>
        <v/>
      </c>
      <c r="E573" s="16"/>
      <c r="F573" s="16"/>
      <c r="G573" s="17"/>
      <c r="J573" s="12" t="str">
        <f>IF($A573="","",IF(COUNTIFS(Tasks!$B$5:$B$1000,$A573,Tasks!$A$5:$A$1000,"&lt;&gt;")=0,0,COUNTIFS(Tasks!$B$5:$B$1000,$A573,Tasks!$A$5:$A$1000,"&lt;&gt;",Tasks!$D$5:$D$1000,"Done")/COUNTIFS(Tasks!$B$5:$B$1000,$A573,Tasks!$A$5:$A$1000,"&lt;&gt;")))</f>
        <v/>
      </c>
      <c r="K573" s="11" t="str">
        <f>IF(OR($A573="",$F573=""),"",$F573-Overview!$B$3)</f>
        <v/>
      </c>
    </row>
    <row r="574" spans="4:11" x14ac:dyDescent="0.25">
      <c r="D574" s="18" t="str">
        <f>IF($C574="","",IFERROR(INDEX(Clients!$B$5:$B$1000,MATCH($C574,Clients!$A$5:$A$1000,0)),"Unknown client ID"))</f>
        <v/>
      </c>
      <c r="E574" s="16"/>
      <c r="F574" s="16"/>
      <c r="G574" s="17"/>
      <c r="J574" s="12" t="str">
        <f>IF($A574="","",IF(COUNTIFS(Tasks!$B$5:$B$1000,$A574,Tasks!$A$5:$A$1000,"&lt;&gt;")=0,0,COUNTIFS(Tasks!$B$5:$B$1000,$A574,Tasks!$A$5:$A$1000,"&lt;&gt;",Tasks!$D$5:$D$1000,"Done")/COUNTIFS(Tasks!$B$5:$B$1000,$A574,Tasks!$A$5:$A$1000,"&lt;&gt;")))</f>
        <v/>
      </c>
      <c r="K574" s="11" t="str">
        <f>IF(OR($A574="",$F574=""),"",$F574-Overview!$B$3)</f>
        <v/>
      </c>
    </row>
    <row r="575" spans="4:11" x14ac:dyDescent="0.25">
      <c r="D575" s="18" t="str">
        <f>IF($C575="","",IFERROR(INDEX(Clients!$B$5:$B$1000,MATCH($C575,Clients!$A$5:$A$1000,0)),"Unknown client ID"))</f>
        <v/>
      </c>
      <c r="E575" s="16"/>
      <c r="F575" s="16"/>
      <c r="G575" s="17"/>
      <c r="J575" s="12" t="str">
        <f>IF($A575="","",IF(COUNTIFS(Tasks!$B$5:$B$1000,$A575,Tasks!$A$5:$A$1000,"&lt;&gt;")=0,0,COUNTIFS(Tasks!$B$5:$B$1000,$A575,Tasks!$A$5:$A$1000,"&lt;&gt;",Tasks!$D$5:$D$1000,"Done")/COUNTIFS(Tasks!$B$5:$B$1000,$A575,Tasks!$A$5:$A$1000,"&lt;&gt;")))</f>
        <v/>
      </c>
      <c r="K575" s="11" t="str">
        <f>IF(OR($A575="",$F575=""),"",$F575-Overview!$B$3)</f>
        <v/>
      </c>
    </row>
    <row r="576" spans="4:11" x14ac:dyDescent="0.25">
      <c r="D576" s="18" t="str">
        <f>IF($C576="","",IFERROR(INDEX(Clients!$B$5:$B$1000,MATCH($C576,Clients!$A$5:$A$1000,0)),"Unknown client ID"))</f>
        <v/>
      </c>
      <c r="E576" s="16"/>
      <c r="F576" s="16"/>
      <c r="G576" s="17"/>
      <c r="J576" s="12" t="str">
        <f>IF($A576="","",IF(COUNTIFS(Tasks!$B$5:$B$1000,$A576,Tasks!$A$5:$A$1000,"&lt;&gt;")=0,0,COUNTIFS(Tasks!$B$5:$B$1000,$A576,Tasks!$A$5:$A$1000,"&lt;&gt;",Tasks!$D$5:$D$1000,"Done")/COUNTIFS(Tasks!$B$5:$B$1000,$A576,Tasks!$A$5:$A$1000,"&lt;&gt;")))</f>
        <v/>
      </c>
      <c r="K576" s="11" t="str">
        <f>IF(OR($A576="",$F576=""),"",$F576-Overview!$B$3)</f>
        <v/>
      </c>
    </row>
    <row r="577" spans="4:11" x14ac:dyDescent="0.25">
      <c r="D577" s="18" t="str">
        <f>IF($C577="","",IFERROR(INDEX(Clients!$B$5:$B$1000,MATCH($C577,Clients!$A$5:$A$1000,0)),"Unknown client ID"))</f>
        <v/>
      </c>
      <c r="E577" s="16"/>
      <c r="F577" s="16"/>
      <c r="G577" s="17"/>
      <c r="J577" s="12" t="str">
        <f>IF($A577="","",IF(COUNTIFS(Tasks!$B$5:$B$1000,$A577,Tasks!$A$5:$A$1000,"&lt;&gt;")=0,0,COUNTIFS(Tasks!$B$5:$B$1000,$A577,Tasks!$A$5:$A$1000,"&lt;&gt;",Tasks!$D$5:$D$1000,"Done")/COUNTIFS(Tasks!$B$5:$B$1000,$A577,Tasks!$A$5:$A$1000,"&lt;&gt;")))</f>
        <v/>
      </c>
      <c r="K577" s="11" t="str">
        <f>IF(OR($A577="",$F577=""),"",$F577-Overview!$B$3)</f>
        <v/>
      </c>
    </row>
    <row r="578" spans="4:11" x14ac:dyDescent="0.25">
      <c r="D578" s="18" t="str">
        <f>IF($C578="","",IFERROR(INDEX(Clients!$B$5:$B$1000,MATCH($C578,Clients!$A$5:$A$1000,0)),"Unknown client ID"))</f>
        <v/>
      </c>
      <c r="E578" s="16"/>
      <c r="F578" s="16"/>
      <c r="G578" s="17"/>
      <c r="J578" s="12" t="str">
        <f>IF($A578="","",IF(COUNTIFS(Tasks!$B$5:$B$1000,$A578,Tasks!$A$5:$A$1000,"&lt;&gt;")=0,0,COUNTIFS(Tasks!$B$5:$B$1000,$A578,Tasks!$A$5:$A$1000,"&lt;&gt;",Tasks!$D$5:$D$1000,"Done")/COUNTIFS(Tasks!$B$5:$B$1000,$A578,Tasks!$A$5:$A$1000,"&lt;&gt;")))</f>
        <v/>
      </c>
      <c r="K578" s="11" t="str">
        <f>IF(OR($A578="",$F578=""),"",$F578-Overview!$B$3)</f>
        <v/>
      </c>
    </row>
    <row r="579" spans="4:11" x14ac:dyDescent="0.25">
      <c r="D579" s="18" t="str">
        <f>IF($C579="","",IFERROR(INDEX(Clients!$B$5:$B$1000,MATCH($C579,Clients!$A$5:$A$1000,0)),"Unknown client ID"))</f>
        <v/>
      </c>
      <c r="E579" s="16"/>
      <c r="F579" s="16"/>
      <c r="G579" s="17"/>
      <c r="J579" s="12" t="str">
        <f>IF($A579="","",IF(COUNTIFS(Tasks!$B$5:$B$1000,$A579,Tasks!$A$5:$A$1000,"&lt;&gt;")=0,0,COUNTIFS(Tasks!$B$5:$B$1000,$A579,Tasks!$A$5:$A$1000,"&lt;&gt;",Tasks!$D$5:$D$1000,"Done")/COUNTIFS(Tasks!$B$5:$B$1000,$A579,Tasks!$A$5:$A$1000,"&lt;&gt;")))</f>
        <v/>
      </c>
      <c r="K579" s="11" t="str">
        <f>IF(OR($A579="",$F579=""),"",$F579-Overview!$B$3)</f>
        <v/>
      </c>
    </row>
    <row r="580" spans="4:11" x14ac:dyDescent="0.25">
      <c r="D580" s="18" t="str">
        <f>IF($C580="","",IFERROR(INDEX(Clients!$B$5:$B$1000,MATCH($C580,Clients!$A$5:$A$1000,0)),"Unknown client ID"))</f>
        <v/>
      </c>
      <c r="E580" s="16"/>
      <c r="F580" s="16"/>
      <c r="G580" s="17"/>
      <c r="J580" s="12" t="str">
        <f>IF($A580="","",IF(COUNTIFS(Tasks!$B$5:$B$1000,$A580,Tasks!$A$5:$A$1000,"&lt;&gt;")=0,0,COUNTIFS(Tasks!$B$5:$B$1000,$A580,Tasks!$A$5:$A$1000,"&lt;&gt;",Tasks!$D$5:$D$1000,"Done")/COUNTIFS(Tasks!$B$5:$B$1000,$A580,Tasks!$A$5:$A$1000,"&lt;&gt;")))</f>
        <v/>
      </c>
      <c r="K580" s="11" t="str">
        <f>IF(OR($A580="",$F580=""),"",$F580-Overview!$B$3)</f>
        <v/>
      </c>
    </row>
    <row r="581" spans="4:11" x14ac:dyDescent="0.25">
      <c r="D581" s="18" t="str">
        <f>IF($C581="","",IFERROR(INDEX(Clients!$B$5:$B$1000,MATCH($C581,Clients!$A$5:$A$1000,0)),"Unknown client ID"))</f>
        <v/>
      </c>
      <c r="E581" s="16"/>
      <c r="F581" s="16"/>
      <c r="G581" s="17"/>
      <c r="J581" s="12" t="str">
        <f>IF($A581="","",IF(COUNTIFS(Tasks!$B$5:$B$1000,$A581,Tasks!$A$5:$A$1000,"&lt;&gt;")=0,0,COUNTIFS(Tasks!$B$5:$B$1000,$A581,Tasks!$A$5:$A$1000,"&lt;&gt;",Tasks!$D$5:$D$1000,"Done")/COUNTIFS(Tasks!$B$5:$B$1000,$A581,Tasks!$A$5:$A$1000,"&lt;&gt;")))</f>
        <v/>
      </c>
      <c r="K581" s="11" t="str">
        <f>IF(OR($A581="",$F581=""),"",$F581-Overview!$B$3)</f>
        <v/>
      </c>
    </row>
    <row r="582" spans="4:11" x14ac:dyDescent="0.25">
      <c r="D582" s="18" t="str">
        <f>IF($C582="","",IFERROR(INDEX(Clients!$B$5:$B$1000,MATCH($C582,Clients!$A$5:$A$1000,0)),"Unknown client ID"))</f>
        <v/>
      </c>
      <c r="E582" s="16"/>
      <c r="F582" s="16"/>
      <c r="G582" s="17"/>
      <c r="J582" s="12" t="str">
        <f>IF($A582="","",IF(COUNTIFS(Tasks!$B$5:$B$1000,$A582,Tasks!$A$5:$A$1000,"&lt;&gt;")=0,0,COUNTIFS(Tasks!$B$5:$B$1000,$A582,Tasks!$A$5:$A$1000,"&lt;&gt;",Tasks!$D$5:$D$1000,"Done")/COUNTIFS(Tasks!$B$5:$B$1000,$A582,Tasks!$A$5:$A$1000,"&lt;&gt;")))</f>
        <v/>
      </c>
      <c r="K582" s="11" t="str">
        <f>IF(OR($A582="",$F582=""),"",$F582-Overview!$B$3)</f>
        <v/>
      </c>
    </row>
    <row r="583" spans="4:11" x14ac:dyDescent="0.25">
      <c r="D583" s="18" t="str">
        <f>IF($C583="","",IFERROR(INDEX(Clients!$B$5:$B$1000,MATCH($C583,Clients!$A$5:$A$1000,0)),"Unknown client ID"))</f>
        <v/>
      </c>
      <c r="E583" s="16"/>
      <c r="F583" s="16"/>
      <c r="G583" s="17"/>
      <c r="J583" s="12" t="str">
        <f>IF($A583="","",IF(COUNTIFS(Tasks!$B$5:$B$1000,$A583,Tasks!$A$5:$A$1000,"&lt;&gt;")=0,0,COUNTIFS(Tasks!$B$5:$B$1000,$A583,Tasks!$A$5:$A$1000,"&lt;&gt;",Tasks!$D$5:$D$1000,"Done")/COUNTIFS(Tasks!$B$5:$B$1000,$A583,Tasks!$A$5:$A$1000,"&lt;&gt;")))</f>
        <v/>
      </c>
      <c r="K583" s="11" t="str">
        <f>IF(OR($A583="",$F583=""),"",$F583-Overview!$B$3)</f>
        <v/>
      </c>
    </row>
    <row r="584" spans="4:11" x14ac:dyDescent="0.25">
      <c r="D584" s="18" t="str">
        <f>IF($C584="","",IFERROR(INDEX(Clients!$B$5:$B$1000,MATCH($C584,Clients!$A$5:$A$1000,0)),"Unknown client ID"))</f>
        <v/>
      </c>
      <c r="E584" s="16"/>
      <c r="F584" s="16"/>
      <c r="G584" s="17"/>
      <c r="J584" s="12" t="str">
        <f>IF($A584="","",IF(COUNTIFS(Tasks!$B$5:$B$1000,$A584,Tasks!$A$5:$A$1000,"&lt;&gt;")=0,0,COUNTIFS(Tasks!$B$5:$B$1000,$A584,Tasks!$A$5:$A$1000,"&lt;&gt;",Tasks!$D$5:$D$1000,"Done")/COUNTIFS(Tasks!$B$5:$B$1000,$A584,Tasks!$A$5:$A$1000,"&lt;&gt;")))</f>
        <v/>
      </c>
      <c r="K584" s="11" t="str">
        <f>IF(OR($A584="",$F584=""),"",$F584-Overview!$B$3)</f>
        <v/>
      </c>
    </row>
    <row r="585" spans="4:11" x14ac:dyDescent="0.25">
      <c r="D585" s="18" t="str">
        <f>IF($C585="","",IFERROR(INDEX(Clients!$B$5:$B$1000,MATCH($C585,Clients!$A$5:$A$1000,0)),"Unknown client ID"))</f>
        <v/>
      </c>
      <c r="E585" s="16"/>
      <c r="F585" s="16"/>
      <c r="G585" s="17"/>
      <c r="J585" s="12" t="str">
        <f>IF($A585="","",IF(COUNTIFS(Tasks!$B$5:$B$1000,$A585,Tasks!$A$5:$A$1000,"&lt;&gt;")=0,0,COUNTIFS(Tasks!$B$5:$B$1000,$A585,Tasks!$A$5:$A$1000,"&lt;&gt;",Tasks!$D$5:$D$1000,"Done")/COUNTIFS(Tasks!$B$5:$B$1000,$A585,Tasks!$A$5:$A$1000,"&lt;&gt;")))</f>
        <v/>
      </c>
      <c r="K585" s="11" t="str">
        <f>IF(OR($A585="",$F585=""),"",$F585-Overview!$B$3)</f>
        <v/>
      </c>
    </row>
    <row r="586" spans="4:11" x14ac:dyDescent="0.25">
      <c r="D586" s="18" t="str">
        <f>IF($C586="","",IFERROR(INDEX(Clients!$B$5:$B$1000,MATCH($C586,Clients!$A$5:$A$1000,0)),"Unknown client ID"))</f>
        <v/>
      </c>
      <c r="E586" s="16"/>
      <c r="F586" s="16"/>
      <c r="G586" s="17"/>
      <c r="J586" s="12" t="str">
        <f>IF($A586="","",IF(COUNTIFS(Tasks!$B$5:$B$1000,$A586,Tasks!$A$5:$A$1000,"&lt;&gt;")=0,0,COUNTIFS(Tasks!$B$5:$B$1000,$A586,Tasks!$A$5:$A$1000,"&lt;&gt;",Tasks!$D$5:$D$1000,"Done")/COUNTIFS(Tasks!$B$5:$B$1000,$A586,Tasks!$A$5:$A$1000,"&lt;&gt;")))</f>
        <v/>
      </c>
      <c r="K586" s="11" t="str">
        <f>IF(OR($A586="",$F586=""),"",$F586-Overview!$B$3)</f>
        <v/>
      </c>
    </row>
    <row r="587" spans="4:11" x14ac:dyDescent="0.25">
      <c r="D587" s="18" t="str">
        <f>IF($C587="","",IFERROR(INDEX(Clients!$B$5:$B$1000,MATCH($C587,Clients!$A$5:$A$1000,0)),"Unknown client ID"))</f>
        <v/>
      </c>
      <c r="E587" s="16"/>
      <c r="F587" s="16"/>
      <c r="G587" s="17"/>
      <c r="J587" s="12" t="str">
        <f>IF($A587="","",IF(COUNTIFS(Tasks!$B$5:$B$1000,$A587,Tasks!$A$5:$A$1000,"&lt;&gt;")=0,0,COUNTIFS(Tasks!$B$5:$B$1000,$A587,Tasks!$A$5:$A$1000,"&lt;&gt;",Tasks!$D$5:$D$1000,"Done")/COUNTIFS(Tasks!$B$5:$B$1000,$A587,Tasks!$A$5:$A$1000,"&lt;&gt;")))</f>
        <v/>
      </c>
      <c r="K587" s="11" t="str">
        <f>IF(OR($A587="",$F587=""),"",$F587-Overview!$B$3)</f>
        <v/>
      </c>
    </row>
    <row r="588" spans="4:11" x14ac:dyDescent="0.25">
      <c r="D588" s="18" t="str">
        <f>IF($C588="","",IFERROR(INDEX(Clients!$B$5:$B$1000,MATCH($C588,Clients!$A$5:$A$1000,0)),"Unknown client ID"))</f>
        <v/>
      </c>
      <c r="E588" s="16"/>
      <c r="F588" s="16"/>
      <c r="G588" s="17"/>
      <c r="J588" s="12" t="str">
        <f>IF($A588="","",IF(COUNTIFS(Tasks!$B$5:$B$1000,$A588,Tasks!$A$5:$A$1000,"&lt;&gt;")=0,0,COUNTIFS(Tasks!$B$5:$B$1000,$A588,Tasks!$A$5:$A$1000,"&lt;&gt;",Tasks!$D$5:$D$1000,"Done")/COUNTIFS(Tasks!$B$5:$B$1000,$A588,Tasks!$A$5:$A$1000,"&lt;&gt;")))</f>
        <v/>
      </c>
      <c r="K588" s="11" t="str">
        <f>IF(OR($A588="",$F588=""),"",$F588-Overview!$B$3)</f>
        <v/>
      </c>
    </row>
    <row r="589" spans="4:11" x14ac:dyDescent="0.25">
      <c r="D589" s="18" t="str">
        <f>IF($C589="","",IFERROR(INDEX(Clients!$B$5:$B$1000,MATCH($C589,Clients!$A$5:$A$1000,0)),"Unknown client ID"))</f>
        <v/>
      </c>
      <c r="E589" s="16"/>
      <c r="F589" s="16"/>
      <c r="G589" s="17"/>
      <c r="J589" s="12" t="str">
        <f>IF($A589="","",IF(COUNTIFS(Tasks!$B$5:$B$1000,$A589,Tasks!$A$5:$A$1000,"&lt;&gt;")=0,0,COUNTIFS(Tasks!$B$5:$B$1000,$A589,Tasks!$A$5:$A$1000,"&lt;&gt;",Tasks!$D$5:$D$1000,"Done")/COUNTIFS(Tasks!$B$5:$B$1000,$A589,Tasks!$A$5:$A$1000,"&lt;&gt;")))</f>
        <v/>
      </c>
      <c r="K589" s="11" t="str">
        <f>IF(OR($A589="",$F589=""),"",$F589-Overview!$B$3)</f>
        <v/>
      </c>
    </row>
    <row r="590" spans="4:11" x14ac:dyDescent="0.25">
      <c r="D590" s="18" t="str">
        <f>IF($C590="","",IFERROR(INDEX(Clients!$B$5:$B$1000,MATCH($C590,Clients!$A$5:$A$1000,0)),"Unknown client ID"))</f>
        <v/>
      </c>
      <c r="E590" s="16"/>
      <c r="F590" s="16"/>
      <c r="G590" s="17"/>
      <c r="J590" s="12" t="str">
        <f>IF($A590="","",IF(COUNTIFS(Tasks!$B$5:$B$1000,$A590,Tasks!$A$5:$A$1000,"&lt;&gt;")=0,0,COUNTIFS(Tasks!$B$5:$B$1000,$A590,Tasks!$A$5:$A$1000,"&lt;&gt;",Tasks!$D$5:$D$1000,"Done")/COUNTIFS(Tasks!$B$5:$B$1000,$A590,Tasks!$A$5:$A$1000,"&lt;&gt;")))</f>
        <v/>
      </c>
      <c r="K590" s="11" t="str">
        <f>IF(OR($A590="",$F590=""),"",$F590-Overview!$B$3)</f>
        <v/>
      </c>
    </row>
    <row r="591" spans="4:11" x14ac:dyDescent="0.25">
      <c r="D591" s="18" t="str">
        <f>IF($C591="","",IFERROR(INDEX(Clients!$B$5:$B$1000,MATCH($C591,Clients!$A$5:$A$1000,0)),"Unknown client ID"))</f>
        <v/>
      </c>
      <c r="E591" s="16"/>
      <c r="F591" s="16"/>
      <c r="G591" s="17"/>
      <c r="J591" s="12" t="str">
        <f>IF($A591="","",IF(COUNTIFS(Tasks!$B$5:$B$1000,$A591,Tasks!$A$5:$A$1000,"&lt;&gt;")=0,0,COUNTIFS(Tasks!$B$5:$B$1000,$A591,Tasks!$A$5:$A$1000,"&lt;&gt;",Tasks!$D$5:$D$1000,"Done")/COUNTIFS(Tasks!$B$5:$B$1000,$A591,Tasks!$A$5:$A$1000,"&lt;&gt;")))</f>
        <v/>
      </c>
      <c r="K591" s="11" t="str">
        <f>IF(OR($A591="",$F591=""),"",$F591-Overview!$B$3)</f>
        <v/>
      </c>
    </row>
    <row r="592" spans="4:11" x14ac:dyDescent="0.25">
      <c r="D592" s="18" t="str">
        <f>IF($C592="","",IFERROR(INDEX(Clients!$B$5:$B$1000,MATCH($C592,Clients!$A$5:$A$1000,0)),"Unknown client ID"))</f>
        <v/>
      </c>
      <c r="E592" s="16"/>
      <c r="F592" s="16"/>
      <c r="G592" s="17"/>
      <c r="J592" s="12" t="str">
        <f>IF($A592="","",IF(COUNTIFS(Tasks!$B$5:$B$1000,$A592,Tasks!$A$5:$A$1000,"&lt;&gt;")=0,0,COUNTIFS(Tasks!$B$5:$B$1000,$A592,Tasks!$A$5:$A$1000,"&lt;&gt;",Tasks!$D$5:$D$1000,"Done")/COUNTIFS(Tasks!$B$5:$B$1000,$A592,Tasks!$A$5:$A$1000,"&lt;&gt;")))</f>
        <v/>
      </c>
      <c r="K592" s="11" t="str">
        <f>IF(OR($A592="",$F592=""),"",$F592-Overview!$B$3)</f>
        <v/>
      </c>
    </row>
    <row r="593" spans="4:11" x14ac:dyDescent="0.25">
      <c r="D593" s="18" t="str">
        <f>IF($C593="","",IFERROR(INDEX(Clients!$B$5:$B$1000,MATCH($C593,Clients!$A$5:$A$1000,0)),"Unknown client ID"))</f>
        <v/>
      </c>
      <c r="E593" s="16"/>
      <c r="F593" s="16"/>
      <c r="G593" s="17"/>
      <c r="J593" s="12" t="str">
        <f>IF($A593="","",IF(COUNTIFS(Tasks!$B$5:$B$1000,$A593,Tasks!$A$5:$A$1000,"&lt;&gt;")=0,0,COUNTIFS(Tasks!$B$5:$B$1000,$A593,Tasks!$A$5:$A$1000,"&lt;&gt;",Tasks!$D$5:$D$1000,"Done")/COUNTIFS(Tasks!$B$5:$B$1000,$A593,Tasks!$A$5:$A$1000,"&lt;&gt;")))</f>
        <v/>
      </c>
      <c r="K593" s="11" t="str">
        <f>IF(OR($A593="",$F593=""),"",$F593-Overview!$B$3)</f>
        <v/>
      </c>
    </row>
    <row r="594" spans="4:11" x14ac:dyDescent="0.25">
      <c r="D594" s="18" t="str">
        <f>IF($C594="","",IFERROR(INDEX(Clients!$B$5:$B$1000,MATCH($C594,Clients!$A$5:$A$1000,0)),"Unknown client ID"))</f>
        <v/>
      </c>
      <c r="E594" s="16"/>
      <c r="F594" s="16"/>
      <c r="G594" s="17"/>
      <c r="J594" s="12" t="str">
        <f>IF($A594="","",IF(COUNTIFS(Tasks!$B$5:$B$1000,$A594,Tasks!$A$5:$A$1000,"&lt;&gt;")=0,0,COUNTIFS(Tasks!$B$5:$B$1000,$A594,Tasks!$A$5:$A$1000,"&lt;&gt;",Tasks!$D$5:$D$1000,"Done")/COUNTIFS(Tasks!$B$5:$B$1000,$A594,Tasks!$A$5:$A$1000,"&lt;&gt;")))</f>
        <v/>
      </c>
      <c r="K594" s="11" t="str">
        <f>IF(OR($A594="",$F594=""),"",$F594-Overview!$B$3)</f>
        <v/>
      </c>
    </row>
    <row r="595" spans="4:11" x14ac:dyDescent="0.25">
      <c r="D595" s="18" t="str">
        <f>IF($C595="","",IFERROR(INDEX(Clients!$B$5:$B$1000,MATCH($C595,Clients!$A$5:$A$1000,0)),"Unknown client ID"))</f>
        <v/>
      </c>
      <c r="E595" s="16"/>
      <c r="F595" s="16"/>
      <c r="G595" s="17"/>
      <c r="J595" s="12" t="str">
        <f>IF($A595="","",IF(COUNTIFS(Tasks!$B$5:$B$1000,$A595,Tasks!$A$5:$A$1000,"&lt;&gt;")=0,0,COUNTIFS(Tasks!$B$5:$B$1000,$A595,Tasks!$A$5:$A$1000,"&lt;&gt;",Tasks!$D$5:$D$1000,"Done")/COUNTIFS(Tasks!$B$5:$B$1000,$A595,Tasks!$A$5:$A$1000,"&lt;&gt;")))</f>
        <v/>
      </c>
      <c r="K595" s="11" t="str">
        <f>IF(OR($A595="",$F595=""),"",$F595-Overview!$B$3)</f>
        <v/>
      </c>
    </row>
    <row r="596" spans="4:11" x14ac:dyDescent="0.25">
      <c r="D596" s="18" t="str">
        <f>IF($C596="","",IFERROR(INDEX(Clients!$B$5:$B$1000,MATCH($C596,Clients!$A$5:$A$1000,0)),"Unknown client ID"))</f>
        <v/>
      </c>
      <c r="E596" s="16"/>
      <c r="F596" s="16"/>
      <c r="G596" s="17"/>
      <c r="J596" s="12" t="str">
        <f>IF($A596="","",IF(COUNTIFS(Tasks!$B$5:$B$1000,$A596,Tasks!$A$5:$A$1000,"&lt;&gt;")=0,0,COUNTIFS(Tasks!$B$5:$B$1000,$A596,Tasks!$A$5:$A$1000,"&lt;&gt;",Tasks!$D$5:$D$1000,"Done")/COUNTIFS(Tasks!$B$5:$B$1000,$A596,Tasks!$A$5:$A$1000,"&lt;&gt;")))</f>
        <v/>
      </c>
      <c r="K596" s="11" t="str">
        <f>IF(OR($A596="",$F596=""),"",$F596-Overview!$B$3)</f>
        <v/>
      </c>
    </row>
    <row r="597" spans="4:11" x14ac:dyDescent="0.25">
      <c r="D597" s="18" t="str">
        <f>IF($C597="","",IFERROR(INDEX(Clients!$B$5:$B$1000,MATCH($C597,Clients!$A$5:$A$1000,0)),"Unknown client ID"))</f>
        <v/>
      </c>
      <c r="E597" s="16"/>
      <c r="F597" s="16"/>
      <c r="G597" s="17"/>
      <c r="J597" s="12" t="str">
        <f>IF($A597="","",IF(COUNTIFS(Tasks!$B$5:$B$1000,$A597,Tasks!$A$5:$A$1000,"&lt;&gt;")=0,0,COUNTIFS(Tasks!$B$5:$B$1000,$A597,Tasks!$A$5:$A$1000,"&lt;&gt;",Tasks!$D$5:$D$1000,"Done")/COUNTIFS(Tasks!$B$5:$B$1000,$A597,Tasks!$A$5:$A$1000,"&lt;&gt;")))</f>
        <v/>
      </c>
      <c r="K597" s="11" t="str">
        <f>IF(OR($A597="",$F597=""),"",$F597-Overview!$B$3)</f>
        <v/>
      </c>
    </row>
    <row r="598" spans="4:11" x14ac:dyDescent="0.25">
      <c r="D598" s="18" t="str">
        <f>IF($C598="","",IFERROR(INDEX(Clients!$B$5:$B$1000,MATCH($C598,Clients!$A$5:$A$1000,0)),"Unknown client ID"))</f>
        <v/>
      </c>
      <c r="E598" s="16"/>
      <c r="F598" s="16"/>
      <c r="G598" s="17"/>
      <c r="J598" s="12" t="str">
        <f>IF($A598="","",IF(COUNTIFS(Tasks!$B$5:$B$1000,$A598,Tasks!$A$5:$A$1000,"&lt;&gt;")=0,0,COUNTIFS(Tasks!$B$5:$B$1000,$A598,Tasks!$A$5:$A$1000,"&lt;&gt;",Tasks!$D$5:$D$1000,"Done")/COUNTIFS(Tasks!$B$5:$B$1000,$A598,Tasks!$A$5:$A$1000,"&lt;&gt;")))</f>
        <v/>
      </c>
      <c r="K598" s="11" t="str">
        <f>IF(OR($A598="",$F598=""),"",$F598-Overview!$B$3)</f>
        <v/>
      </c>
    </row>
    <row r="599" spans="4:11" x14ac:dyDescent="0.25">
      <c r="D599" s="18" t="str">
        <f>IF($C599="","",IFERROR(INDEX(Clients!$B$5:$B$1000,MATCH($C599,Clients!$A$5:$A$1000,0)),"Unknown client ID"))</f>
        <v/>
      </c>
      <c r="E599" s="16"/>
      <c r="F599" s="16"/>
      <c r="G599" s="17"/>
      <c r="J599" s="12" t="str">
        <f>IF($A599="","",IF(COUNTIFS(Tasks!$B$5:$B$1000,$A599,Tasks!$A$5:$A$1000,"&lt;&gt;")=0,0,COUNTIFS(Tasks!$B$5:$B$1000,$A599,Tasks!$A$5:$A$1000,"&lt;&gt;",Tasks!$D$5:$D$1000,"Done")/COUNTIFS(Tasks!$B$5:$B$1000,$A599,Tasks!$A$5:$A$1000,"&lt;&gt;")))</f>
        <v/>
      </c>
      <c r="K599" s="11" t="str">
        <f>IF(OR($A599="",$F599=""),"",$F599-Overview!$B$3)</f>
        <v/>
      </c>
    </row>
    <row r="600" spans="4:11" x14ac:dyDescent="0.25">
      <c r="D600" s="18" t="str">
        <f>IF($C600="","",IFERROR(INDEX(Clients!$B$5:$B$1000,MATCH($C600,Clients!$A$5:$A$1000,0)),"Unknown client ID"))</f>
        <v/>
      </c>
      <c r="E600" s="16"/>
      <c r="F600" s="16"/>
      <c r="G600" s="17"/>
      <c r="J600" s="12" t="str">
        <f>IF($A600="","",IF(COUNTIFS(Tasks!$B$5:$B$1000,$A600,Tasks!$A$5:$A$1000,"&lt;&gt;")=0,0,COUNTIFS(Tasks!$B$5:$B$1000,$A600,Tasks!$A$5:$A$1000,"&lt;&gt;",Tasks!$D$5:$D$1000,"Done")/COUNTIFS(Tasks!$B$5:$B$1000,$A600,Tasks!$A$5:$A$1000,"&lt;&gt;")))</f>
        <v/>
      </c>
      <c r="K600" s="11" t="str">
        <f>IF(OR($A600="",$F600=""),"",$F600-Overview!$B$3)</f>
        <v/>
      </c>
    </row>
    <row r="601" spans="4:11" x14ac:dyDescent="0.25">
      <c r="D601" s="18" t="str">
        <f>IF($C601="","",IFERROR(INDEX(Clients!$B$5:$B$1000,MATCH($C601,Clients!$A$5:$A$1000,0)),"Unknown client ID"))</f>
        <v/>
      </c>
      <c r="E601" s="16"/>
      <c r="F601" s="16"/>
      <c r="G601" s="17"/>
      <c r="J601" s="12" t="str">
        <f>IF($A601="","",IF(COUNTIFS(Tasks!$B$5:$B$1000,$A601,Tasks!$A$5:$A$1000,"&lt;&gt;")=0,0,COUNTIFS(Tasks!$B$5:$B$1000,$A601,Tasks!$A$5:$A$1000,"&lt;&gt;",Tasks!$D$5:$D$1000,"Done")/COUNTIFS(Tasks!$B$5:$B$1000,$A601,Tasks!$A$5:$A$1000,"&lt;&gt;")))</f>
        <v/>
      </c>
      <c r="K601" s="11" t="str">
        <f>IF(OR($A601="",$F601=""),"",$F601-Overview!$B$3)</f>
        <v/>
      </c>
    </row>
    <row r="602" spans="4:11" x14ac:dyDescent="0.25">
      <c r="D602" s="18" t="str">
        <f>IF($C602="","",IFERROR(INDEX(Clients!$B$5:$B$1000,MATCH($C602,Clients!$A$5:$A$1000,0)),"Unknown client ID"))</f>
        <v/>
      </c>
      <c r="E602" s="16"/>
      <c r="F602" s="16"/>
      <c r="G602" s="17"/>
      <c r="J602" s="12" t="str">
        <f>IF($A602="","",IF(COUNTIFS(Tasks!$B$5:$B$1000,$A602,Tasks!$A$5:$A$1000,"&lt;&gt;")=0,0,COUNTIFS(Tasks!$B$5:$B$1000,$A602,Tasks!$A$5:$A$1000,"&lt;&gt;",Tasks!$D$5:$D$1000,"Done")/COUNTIFS(Tasks!$B$5:$B$1000,$A602,Tasks!$A$5:$A$1000,"&lt;&gt;")))</f>
        <v/>
      </c>
      <c r="K602" s="11" t="str">
        <f>IF(OR($A602="",$F602=""),"",$F602-Overview!$B$3)</f>
        <v/>
      </c>
    </row>
    <row r="603" spans="4:11" x14ac:dyDescent="0.25">
      <c r="D603" s="18" t="str">
        <f>IF($C603="","",IFERROR(INDEX(Clients!$B$5:$B$1000,MATCH($C603,Clients!$A$5:$A$1000,0)),"Unknown client ID"))</f>
        <v/>
      </c>
      <c r="E603" s="16"/>
      <c r="F603" s="16"/>
      <c r="G603" s="17"/>
      <c r="J603" s="12" t="str">
        <f>IF($A603="","",IF(COUNTIFS(Tasks!$B$5:$B$1000,$A603,Tasks!$A$5:$A$1000,"&lt;&gt;")=0,0,COUNTIFS(Tasks!$B$5:$B$1000,$A603,Tasks!$A$5:$A$1000,"&lt;&gt;",Tasks!$D$5:$D$1000,"Done")/COUNTIFS(Tasks!$B$5:$B$1000,$A603,Tasks!$A$5:$A$1000,"&lt;&gt;")))</f>
        <v/>
      </c>
      <c r="K603" s="11" t="str">
        <f>IF(OR($A603="",$F603=""),"",$F603-Overview!$B$3)</f>
        <v/>
      </c>
    </row>
    <row r="604" spans="4:11" x14ac:dyDescent="0.25">
      <c r="D604" s="18" t="str">
        <f>IF($C604="","",IFERROR(INDEX(Clients!$B$5:$B$1000,MATCH($C604,Clients!$A$5:$A$1000,0)),"Unknown client ID"))</f>
        <v/>
      </c>
      <c r="E604" s="16"/>
      <c r="F604" s="16"/>
      <c r="G604" s="17"/>
      <c r="J604" s="12" t="str">
        <f>IF($A604="","",IF(COUNTIFS(Tasks!$B$5:$B$1000,$A604,Tasks!$A$5:$A$1000,"&lt;&gt;")=0,0,COUNTIFS(Tasks!$B$5:$B$1000,$A604,Tasks!$A$5:$A$1000,"&lt;&gt;",Tasks!$D$5:$D$1000,"Done")/COUNTIFS(Tasks!$B$5:$B$1000,$A604,Tasks!$A$5:$A$1000,"&lt;&gt;")))</f>
        <v/>
      </c>
      <c r="K604" s="11" t="str">
        <f>IF(OR($A604="",$F604=""),"",$F604-Overview!$B$3)</f>
        <v/>
      </c>
    </row>
    <row r="605" spans="4:11" x14ac:dyDescent="0.25">
      <c r="D605" s="18" t="str">
        <f>IF($C605="","",IFERROR(INDEX(Clients!$B$5:$B$1000,MATCH($C605,Clients!$A$5:$A$1000,0)),"Unknown client ID"))</f>
        <v/>
      </c>
      <c r="E605" s="16"/>
      <c r="F605" s="16"/>
      <c r="G605" s="17"/>
      <c r="J605" s="12" t="str">
        <f>IF($A605="","",IF(COUNTIFS(Tasks!$B$5:$B$1000,$A605,Tasks!$A$5:$A$1000,"&lt;&gt;")=0,0,COUNTIFS(Tasks!$B$5:$B$1000,$A605,Tasks!$A$5:$A$1000,"&lt;&gt;",Tasks!$D$5:$D$1000,"Done")/COUNTIFS(Tasks!$B$5:$B$1000,$A605,Tasks!$A$5:$A$1000,"&lt;&gt;")))</f>
        <v/>
      </c>
      <c r="K605" s="11" t="str">
        <f>IF(OR($A605="",$F605=""),"",$F605-Overview!$B$3)</f>
        <v/>
      </c>
    </row>
    <row r="606" spans="4:11" x14ac:dyDescent="0.25">
      <c r="D606" s="18" t="str">
        <f>IF($C606="","",IFERROR(INDEX(Clients!$B$5:$B$1000,MATCH($C606,Clients!$A$5:$A$1000,0)),"Unknown client ID"))</f>
        <v/>
      </c>
      <c r="E606" s="16"/>
      <c r="F606" s="16"/>
      <c r="G606" s="17"/>
      <c r="J606" s="12" t="str">
        <f>IF($A606="","",IF(COUNTIFS(Tasks!$B$5:$B$1000,$A606,Tasks!$A$5:$A$1000,"&lt;&gt;")=0,0,COUNTIFS(Tasks!$B$5:$B$1000,$A606,Tasks!$A$5:$A$1000,"&lt;&gt;",Tasks!$D$5:$D$1000,"Done")/COUNTIFS(Tasks!$B$5:$B$1000,$A606,Tasks!$A$5:$A$1000,"&lt;&gt;")))</f>
        <v/>
      </c>
      <c r="K606" s="11" t="str">
        <f>IF(OR($A606="",$F606=""),"",$F606-Overview!$B$3)</f>
        <v/>
      </c>
    </row>
    <row r="607" spans="4:11" x14ac:dyDescent="0.25">
      <c r="D607" s="18" t="str">
        <f>IF($C607="","",IFERROR(INDEX(Clients!$B$5:$B$1000,MATCH($C607,Clients!$A$5:$A$1000,0)),"Unknown client ID"))</f>
        <v/>
      </c>
      <c r="E607" s="16"/>
      <c r="F607" s="16"/>
      <c r="G607" s="17"/>
      <c r="J607" s="12" t="str">
        <f>IF($A607="","",IF(COUNTIFS(Tasks!$B$5:$B$1000,$A607,Tasks!$A$5:$A$1000,"&lt;&gt;")=0,0,COUNTIFS(Tasks!$B$5:$B$1000,$A607,Tasks!$A$5:$A$1000,"&lt;&gt;",Tasks!$D$5:$D$1000,"Done")/COUNTIFS(Tasks!$B$5:$B$1000,$A607,Tasks!$A$5:$A$1000,"&lt;&gt;")))</f>
        <v/>
      </c>
      <c r="K607" s="11" t="str">
        <f>IF(OR($A607="",$F607=""),"",$F607-Overview!$B$3)</f>
        <v/>
      </c>
    </row>
    <row r="608" spans="4:11" x14ac:dyDescent="0.25">
      <c r="D608" s="18" t="str">
        <f>IF($C608="","",IFERROR(INDEX(Clients!$B$5:$B$1000,MATCH($C608,Clients!$A$5:$A$1000,0)),"Unknown client ID"))</f>
        <v/>
      </c>
      <c r="E608" s="16"/>
      <c r="F608" s="16"/>
      <c r="G608" s="17"/>
      <c r="J608" s="12" t="str">
        <f>IF($A608="","",IF(COUNTIFS(Tasks!$B$5:$B$1000,$A608,Tasks!$A$5:$A$1000,"&lt;&gt;")=0,0,COUNTIFS(Tasks!$B$5:$B$1000,$A608,Tasks!$A$5:$A$1000,"&lt;&gt;",Tasks!$D$5:$D$1000,"Done")/COUNTIFS(Tasks!$B$5:$B$1000,$A608,Tasks!$A$5:$A$1000,"&lt;&gt;")))</f>
        <v/>
      </c>
      <c r="K608" s="11" t="str">
        <f>IF(OR($A608="",$F608=""),"",$F608-Overview!$B$3)</f>
        <v/>
      </c>
    </row>
    <row r="609" spans="4:11" x14ac:dyDescent="0.25">
      <c r="D609" s="18" t="str">
        <f>IF($C609="","",IFERROR(INDEX(Clients!$B$5:$B$1000,MATCH($C609,Clients!$A$5:$A$1000,0)),"Unknown client ID"))</f>
        <v/>
      </c>
      <c r="E609" s="16"/>
      <c r="F609" s="16"/>
      <c r="G609" s="17"/>
      <c r="J609" s="12" t="str">
        <f>IF($A609="","",IF(COUNTIFS(Tasks!$B$5:$B$1000,$A609,Tasks!$A$5:$A$1000,"&lt;&gt;")=0,0,COUNTIFS(Tasks!$B$5:$B$1000,$A609,Tasks!$A$5:$A$1000,"&lt;&gt;",Tasks!$D$5:$D$1000,"Done")/COUNTIFS(Tasks!$B$5:$B$1000,$A609,Tasks!$A$5:$A$1000,"&lt;&gt;")))</f>
        <v/>
      </c>
      <c r="K609" s="11" t="str">
        <f>IF(OR($A609="",$F609=""),"",$F609-Overview!$B$3)</f>
        <v/>
      </c>
    </row>
    <row r="610" spans="4:11" x14ac:dyDescent="0.25">
      <c r="D610" s="18" t="str">
        <f>IF($C610="","",IFERROR(INDEX(Clients!$B$5:$B$1000,MATCH($C610,Clients!$A$5:$A$1000,0)),"Unknown client ID"))</f>
        <v/>
      </c>
      <c r="E610" s="16"/>
      <c r="F610" s="16"/>
      <c r="G610" s="17"/>
      <c r="J610" s="12" t="str">
        <f>IF($A610="","",IF(COUNTIFS(Tasks!$B$5:$B$1000,$A610,Tasks!$A$5:$A$1000,"&lt;&gt;")=0,0,COUNTIFS(Tasks!$B$5:$B$1000,$A610,Tasks!$A$5:$A$1000,"&lt;&gt;",Tasks!$D$5:$D$1000,"Done")/COUNTIFS(Tasks!$B$5:$B$1000,$A610,Tasks!$A$5:$A$1000,"&lt;&gt;")))</f>
        <v/>
      </c>
      <c r="K610" s="11" t="str">
        <f>IF(OR($A610="",$F610=""),"",$F610-Overview!$B$3)</f>
        <v/>
      </c>
    </row>
    <row r="611" spans="4:11" x14ac:dyDescent="0.25">
      <c r="D611" s="18" t="str">
        <f>IF($C611="","",IFERROR(INDEX(Clients!$B$5:$B$1000,MATCH($C611,Clients!$A$5:$A$1000,0)),"Unknown client ID"))</f>
        <v/>
      </c>
      <c r="E611" s="16"/>
      <c r="F611" s="16"/>
      <c r="G611" s="17"/>
      <c r="J611" s="12" t="str">
        <f>IF($A611="","",IF(COUNTIFS(Tasks!$B$5:$B$1000,$A611,Tasks!$A$5:$A$1000,"&lt;&gt;")=0,0,COUNTIFS(Tasks!$B$5:$B$1000,$A611,Tasks!$A$5:$A$1000,"&lt;&gt;",Tasks!$D$5:$D$1000,"Done")/COUNTIFS(Tasks!$B$5:$B$1000,$A611,Tasks!$A$5:$A$1000,"&lt;&gt;")))</f>
        <v/>
      </c>
      <c r="K611" s="11" t="str">
        <f>IF(OR($A611="",$F611=""),"",$F611-Overview!$B$3)</f>
        <v/>
      </c>
    </row>
    <row r="612" spans="4:11" x14ac:dyDescent="0.25">
      <c r="D612" s="18" t="str">
        <f>IF($C612="","",IFERROR(INDEX(Clients!$B$5:$B$1000,MATCH($C612,Clients!$A$5:$A$1000,0)),"Unknown client ID"))</f>
        <v/>
      </c>
      <c r="E612" s="16"/>
      <c r="F612" s="16"/>
      <c r="G612" s="17"/>
      <c r="J612" s="12" t="str">
        <f>IF($A612="","",IF(COUNTIFS(Tasks!$B$5:$B$1000,$A612,Tasks!$A$5:$A$1000,"&lt;&gt;")=0,0,COUNTIFS(Tasks!$B$5:$B$1000,$A612,Tasks!$A$5:$A$1000,"&lt;&gt;",Tasks!$D$5:$D$1000,"Done")/COUNTIFS(Tasks!$B$5:$B$1000,$A612,Tasks!$A$5:$A$1000,"&lt;&gt;")))</f>
        <v/>
      </c>
      <c r="K612" s="11" t="str">
        <f>IF(OR($A612="",$F612=""),"",$F612-Overview!$B$3)</f>
        <v/>
      </c>
    </row>
    <row r="613" spans="4:11" x14ac:dyDescent="0.25">
      <c r="D613" s="18" t="str">
        <f>IF($C613="","",IFERROR(INDEX(Clients!$B$5:$B$1000,MATCH($C613,Clients!$A$5:$A$1000,0)),"Unknown client ID"))</f>
        <v/>
      </c>
      <c r="E613" s="16"/>
      <c r="F613" s="16"/>
      <c r="G613" s="17"/>
      <c r="J613" s="12" t="str">
        <f>IF($A613="","",IF(COUNTIFS(Tasks!$B$5:$B$1000,$A613,Tasks!$A$5:$A$1000,"&lt;&gt;")=0,0,COUNTIFS(Tasks!$B$5:$B$1000,$A613,Tasks!$A$5:$A$1000,"&lt;&gt;",Tasks!$D$5:$D$1000,"Done")/COUNTIFS(Tasks!$B$5:$B$1000,$A613,Tasks!$A$5:$A$1000,"&lt;&gt;")))</f>
        <v/>
      </c>
      <c r="K613" s="11" t="str">
        <f>IF(OR($A613="",$F613=""),"",$F613-Overview!$B$3)</f>
        <v/>
      </c>
    </row>
    <row r="614" spans="4:11" x14ac:dyDescent="0.25">
      <c r="D614" s="18" t="str">
        <f>IF($C614="","",IFERROR(INDEX(Clients!$B$5:$B$1000,MATCH($C614,Clients!$A$5:$A$1000,0)),"Unknown client ID"))</f>
        <v/>
      </c>
      <c r="E614" s="16"/>
      <c r="F614" s="16"/>
      <c r="G614" s="17"/>
      <c r="J614" s="12" t="str">
        <f>IF($A614="","",IF(COUNTIFS(Tasks!$B$5:$B$1000,$A614,Tasks!$A$5:$A$1000,"&lt;&gt;")=0,0,COUNTIFS(Tasks!$B$5:$B$1000,$A614,Tasks!$A$5:$A$1000,"&lt;&gt;",Tasks!$D$5:$D$1000,"Done")/COUNTIFS(Tasks!$B$5:$B$1000,$A614,Tasks!$A$5:$A$1000,"&lt;&gt;")))</f>
        <v/>
      </c>
      <c r="K614" s="11" t="str">
        <f>IF(OR($A614="",$F614=""),"",$F614-Overview!$B$3)</f>
        <v/>
      </c>
    </row>
    <row r="615" spans="4:11" x14ac:dyDescent="0.25">
      <c r="D615" s="18" t="str">
        <f>IF($C615="","",IFERROR(INDEX(Clients!$B$5:$B$1000,MATCH($C615,Clients!$A$5:$A$1000,0)),"Unknown client ID"))</f>
        <v/>
      </c>
      <c r="E615" s="16"/>
      <c r="F615" s="16"/>
      <c r="G615" s="17"/>
      <c r="J615" s="12" t="str">
        <f>IF($A615="","",IF(COUNTIFS(Tasks!$B$5:$B$1000,$A615,Tasks!$A$5:$A$1000,"&lt;&gt;")=0,0,COUNTIFS(Tasks!$B$5:$B$1000,$A615,Tasks!$A$5:$A$1000,"&lt;&gt;",Tasks!$D$5:$D$1000,"Done")/COUNTIFS(Tasks!$B$5:$B$1000,$A615,Tasks!$A$5:$A$1000,"&lt;&gt;")))</f>
        <v/>
      </c>
      <c r="K615" s="11" t="str">
        <f>IF(OR($A615="",$F615=""),"",$F615-Overview!$B$3)</f>
        <v/>
      </c>
    </row>
    <row r="616" spans="4:11" x14ac:dyDescent="0.25">
      <c r="D616" s="18" t="str">
        <f>IF($C616="","",IFERROR(INDEX(Clients!$B$5:$B$1000,MATCH($C616,Clients!$A$5:$A$1000,0)),"Unknown client ID"))</f>
        <v/>
      </c>
      <c r="E616" s="16"/>
      <c r="F616" s="16"/>
      <c r="G616" s="17"/>
      <c r="J616" s="12" t="str">
        <f>IF($A616="","",IF(COUNTIFS(Tasks!$B$5:$B$1000,$A616,Tasks!$A$5:$A$1000,"&lt;&gt;")=0,0,COUNTIFS(Tasks!$B$5:$B$1000,$A616,Tasks!$A$5:$A$1000,"&lt;&gt;",Tasks!$D$5:$D$1000,"Done")/COUNTIFS(Tasks!$B$5:$B$1000,$A616,Tasks!$A$5:$A$1000,"&lt;&gt;")))</f>
        <v/>
      </c>
      <c r="K616" s="11" t="str">
        <f>IF(OR($A616="",$F616=""),"",$F616-Overview!$B$3)</f>
        <v/>
      </c>
    </row>
    <row r="617" spans="4:11" x14ac:dyDescent="0.25">
      <c r="D617" s="18" t="str">
        <f>IF($C617="","",IFERROR(INDEX(Clients!$B$5:$B$1000,MATCH($C617,Clients!$A$5:$A$1000,0)),"Unknown client ID"))</f>
        <v/>
      </c>
      <c r="E617" s="16"/>
      <c r="F617" s="16"/>
      <c r="G617" s="17"/>
      <c r="J617" s="12" t="str">
        <f>IF($A617="","",IF(COUNTIFS(Tasks!$B$5:$B$1000,$A617,Tasks!$A$5:$A$1000,"&lt;&gt;")=0,0,COUNTIFS(Tasks!$B$5:$B$1000,$A617,Tasks!$A$5:$A$1000,"&lt;&gt;",Tasks!$D$5:$D$1000,"Done")/COUNTIFS(Tasks!$B$5:$B$1000,$A617,Tasks!$A$5:$A$1000,"&lt;&gt;")))</f>
        <v/>
      </c>
      <c r="K617" s="11" t="str">
        <f>IF(OR($A617="",$F617=""),"",$F617-Overview!$B$3)</f>
        <v/>
      </c>
    </row>
    <row r="618" spans="4:11" x14ac:dyDescent="0.25">
      <c r="D618" s="18" t="str">
        <f>IF($C618="","",IFERROR(INDEX(Clients!$B$5:$B$1000,MATCH($C618,Clients!$A$5:$A$1000,0)),"Unknown client ID"))</f>
        <v/>
      </c>
      <c r="E618" s="16"/>
      <c r="F618" s="16"/>
      <c r="G618" s="17"/>
      <c r="J618" s="12" t="str">
        <f>IF($A618="","",IF(COUNTIFS(Tasks!$B$5:$B$1000,$A618,Tasks!$A$5:$A$1000,"&lt;&gt;")=0,0,COUNTIFS(Tasks!$B$5:$B$1000,$A618,Tasks!$A$5:$A$1000,"&lt;&gt;",Tasks!$D$5:$D$1000,"Done")/COUNTIFS(Tasks!$B$5:$B$1000,$A618,Tasks!$A$5:$A$1000,"&lt;&gt;")))</f>
        <v/>
      </c>
      <c r="K618" s="11" t="str">
        <f>IF(OR($A618="",$F618=""),"",$F618-Overview!$B$3)</f>
        <v/>
      </c>
    </row>
    <row r="619" spans="4:11" x14ac:dyDescent="0.25">
      <c r="D619" s="18" t="str">
        <f>IF($C619="","",IFERROR(INDEX(Clients!$B$5:$B$1000,MATCH($C619,Clients!$A$5:$A$1000,0)),"Unknown client ID"))</f>
        <v/>
      </c>
      <c r="E619" s="16"/>
      <c r="F619" s="16"/>
      <c r="G619" s="17"/>
      <c r="J619" s="12" t="str">
        <f>IF($A619="","",IF(COUNTIFS(Tasks!$B$5:$B$1000,$A619,Tasks!$A$5:$A$1000,"&lt;&gt;")=0,0,COUNTIFS(Tasks!$B$5:$B$1000,$A619,Tasks!$A$5:$A$1000,"&lt;&gt;",Tasks!$D$5:$D$1000,"Done")/COUNTIFS(Tasks!$B$5:$B$1000,$A619,Tasks!$A$5:$A$1000,"&lt;&gt;")))</f>
        <v/>
      </c>
      <c r="K619" s="11" t="str">
        <f>IF(OR($A619="",$F619=""),"",$F619-Overview!$B$3)</f>
        <v/>
      </c>
    </row>
    <row r="620" spans="4:11" x14ac:dyDescent="0.25">
      <c r="D620" s="18" t="str">
        <f>IF($C620="","",IFERROR(INDEX(Clients!$B$5:$B$1000,MATCH($C620,Clients!$A$5:$A$1000,0)),"Unknown client ID"))</f>
        <v/>
      </c>
      <c r="E620" s="16"/>
      <c r="F620" s="16"/>
      <c r="G620" s="17"/>
      <c r="J620" s="12" t="str">
        <f>IF($A620="","",IF(COUNTIFS(Tasks!$B$5:$B$1000,$A620,Tasks!$A$5:$A$1000,"&lt;&gt;")=0,0,COUNTIFS(Tasks!$B$5:$B$1000,$A620,Tasks!$A$5:$A$1000,"&lt;&gt;",Tasks!$D$5:$D$1000,"Done")/COUNTIFS(Tasks!$B$5:$B$1000,$A620,Tasks!$A$5:$A$1000,"&lt;&gt;")))</f>
        <v/>
      </c>
      <c r="K620" s="11" t="str">
        <f>IF(OR($A620="",$F620=""),"",$F620-Overview!$B$3)</f>
        <v/>
      </c>
    </row>
    <row r="621" spans="4:11" x14ac:dyDescent="0.25">
      <c r="D621" s="18" t="str">
        <f>IF($C621="","",IFERROR(INDEX(Clients!$B$5:$B$1000,MATCH($C621,Clients!$A$5:$A$1000,0)),"Unknown client ID"))</f>
        <v/>
      </c>
      <c r="E621" s="16"/>
      <c r="F621" s="16"/>
      <c r="G621" s="17"/>
      <c r="J621" s="12" t="str">
        <f>IF($A621="","",IF(COUNTIFS(Tasks!$B$5:$B$1000,$A621,Tasks!$A$5:$A$1000,"&lt;&gt;")=0,0,COUNTIFS(Tasks!$B$5:$B$1000,$A621,Tasks!$A$5:$A$1000,"&lt;&gt;",Tasks!$D$5:$D$1000,"Done")/COUNTIFS(Tasks!$B$5:$B$1000,$A621,Tasks!$A$5:$A$1000,"&lt;&gt;")))</f>
        <v/>
      </c>
      <c r="K621" s="11" t="str">
        <f>IF(OR($A621="",$F621=""),"",$F621-Overview!$B$3)</f>
        <v/>
      </c>
    </row>
    <row r="622" spans="4:11" x14ac:dyDescent="0.25">
      <c r="D622" s="18" t="str">
        <f>IF($C622="","",IFERROR(INDEX(Clients!$B$5:$B$1000,MATCH($C622,Clients!$A$5:$A$1000,0)),"Unknown client ID"))</f>
        <v/>
      </c>
      <c r="E622" s="16"/>
      <c r="F622" s="16"/>
      <c r="G622" s="17"/>
      <c r="J622" s="12" t="str">
        <f>IF($A622="","",IF(COUNTIFS(Tasks!$B$5:$B$1000,$A622,Tasks!$A$5:$A$1000,"&lt;&gt;")=0,0,COUNTIFS(Tasks!$B$5:$B$1000,$A622,Tasks!$A$5:$A$1000,"&lt;&gt;",Tasks!$D$5:$D$1000,"Done")/COUNTIFS(Tasks!$B$5:$B$1000,$A622,Tasks!$A$5:$A$1000,"&lt;&gt;")))</f>
        <v/>
      </c>
      <c r="K622" s="11" t="str">
        <f>IF(OR($A622="",$F622=""),"",$F622-Overview!$B$3)</f>
        <v/>
      </c>
    </row>
    <row r="623" spans="4:11" x14ac:dyDescent="0.25">
      <c r="D623" s="18" t="str">
        <f>IF($C623="","",IFERROR(INDEX(Clients!$B$5:$B$1000,MATCH($C623,Clients!$A$5:$A$1000,0)),"Unknown client ID"))</f>
        <v/>
      </c>
      <c r="E623" s="16"/>
      <c r="F623" s="16"/>
      <c r="G623" s="17"/>
      <c r="J623" s="12" t="str">
        <f>IF($A623="","",IF(COUNTIFS(Tasks!$B$5:$B$1000,$A623,Tasks!$A$5:$A$1000,"&lt;&gt;")=0,0,COUNTIFS(Tasks!$B$5:$B$1000,$A623,Tasks!$A$5:$A$1000,"&lt;&gt;",Tasks!$D$5:$D$1000,"Done")/COUNTIFS(Tasks!$B$5:$B$1000,$A623,Tasks!$A$5:$A$1000,"&lt;&gt;")))</f>
        <v/>
      </c>
      <c r="K623" s="11" t="str">
        <f>IF(OR($A623="",$F623=""),"",$F623-Overview!$B$3)</f>
        <v/>
      </c>
    </row>
    <row r="624" spans="4:11" x14ac:dyDescent="0.25">
      <c r="D624" s="18" t="str">
        <f>IF($C624="","",IFERROR(INDEX(Clients!$B$5:$B$1000,MATCH($C624,Clients!$A$5:$A$1000,0)),"Unknown client ID"))</f>
        <v/>
      </c>
      <c r="E624" s="16"/>
      <c r="F624" s="16"/>
      <c r="G624" s="17"/>
      <c r="J624" s="12" t="str">
        <f>IF($A624="","",IF(COUNTIFS(Tasks!$B$5:$B$1000,$A624,Tasks!$A$5:$A$1000,"&lt;&gt;")=0,0,COUNTIFS(Tasks!$B$5:$B$1000,$A624,Tasks!$A$5:$A$1000,"&lt;&gt;",Tasks!$D$5:$D$1000,"Done")/COUNTIFS(Tasks!$B$5:$B$1000,$A624,Tasks!$A$5:$A$1000,"&lt;&gt;")))</f>
        <v/>
      </c>
      <c r="K624" s="11" t="str">
        <f>IF(OR($A624="",$F624=""),"",$F624-Overview!$B$3)</f>
        <v/>
      </c>
    </row>
    <row r="625" spans="4:11" x14ac:dyDescent="0.25">
      <c r="D625" s="18" t="str">
        <f>IF($C625="","",IFERROR(INDEX(Clients!$B$5:$B$1000,MATCH($C625,Clients!$A$5:$A$1000,0)),"Unknown client ID"))</f>
        <v/>
      </c>
      <c r="E625" s="16"/>
      <c r="F625" s="16"/>
      <c r="G625" s="17"/>
      <c r="J625" s="12" t="str">
        <f>IF($A625="","",IF(COUNTIFS(Tasks!$B$5:$B$1000,$A625,Tasks!$A$5:$A$1000,"&lt;&gt;")=0,0,COUNTIFS(Tasks!$B$5:$B$1000,$A625,Tasks!$A$5:$A$1000,"&lt;&gt;",Tasks!$D$5:$D$1000,"Done")/COUNTIFS(Tasks!$B$5:$B$1000,$A625,Tasks!$A$5:$A$1000,"&lt;&gt;")))</f>
        <v/>
      </c>
      <c r="K625" s="11" t="str">
        <f>IF(OR($A625="",$F625=""),"",$F625-Overview!$B$3)</f>
        <v/>
      </c>
    </row>
    <row r="626" spans="4:11" x14ac:dyDescent="0.25">
      <c r="D626" s="18" t="str">
        <f>IF($C626="","",IFERROR(INDEX(Clients!$B$5:$B$1000,MATCH($C626,Clients!$A$5:$A$1000,0)),"Unknown client ID"))</f>
        <v/>
      </c>
      <c r="E626" s="16"/>
      <c r="F626" s="16"/>
      <c r="G626" s="17"/>
      <c r="J626" s="12" t="str">
        <f>IF($A626="","",IF(COUNTIFS(Tasks!$B$5:$B$1000,$A626,Tasks!$A$5:$A$1000,"&lt;&gt;")=0,0,COUNTIFS(Tasks!$B$5:$B$1000,$A626,Tasks!$A$5:$A$1000,"&lt;&gt;",Tasks!$D$5:$D$1000,"Done")/COUNTIFS(Tasks!$B$5:$B$1000,$A626,Tasks!$A$5:$A$1000,"&lt;&gt;")))</f>
        <v/>
      </c>
      <c r="K626" s="11" t="str">
        <f>IF(OR($A626="",$F626=""),"",$F626-Overview!$B$3)</f>
        <v/>
      </c>
    </row>
    <row r="627" spans="4:11" x14ac:dyDescent="0.25">
      <c r="D627" s="18" t="str">
        <f>IF($C627="","",IFERROR(INDEX(Clients!$B$5:$B$1000,MATCH($C627,Clients!$A$5:$A$1000,0)),"Unknown client ID"))</f>
        <v/>
      </c>
      <c r="E627" s="16"/>
      <c r="F627" s="16"/>
      <c r="G627" s="17"/>
      <c r="J627" s="12" t="str">
        <f>IF($A627="","",IF(COUNTIFS(Tasks!$B$5:$B$1000,$A627,Tasks!$A$5:$A$1000,"&lt;&gt;")=0,0,COUNTIFS(Tasks!$B$5:$B$1000,$A627,Tasks!$A$5:$A$1000,"&lt;&gt;",Tasks!$D$5:$D$1000,"Done")/COUNTIFS(Tasks!$B$5:$B$1000,$A627,Tasks!$A$5:$A$1000,"&lt;&gt;")))</f>
        <v/>
      </c>
      <c r="K627" s="11" t="str">
        <f>IF(OR($A627="",$F627=""),"",$F627-Overview!$B$3)</f>
        <v/>
      </c>
    </row>
    <row r="628" spans="4:11" x14ac:dyDescent="0.25">
      <c r="D628" s="18" t="str">
        <f>IF($C628="","",IFERROR(INDEX(Clients!$B$5:$B$1000,MATCH($C628,Clients!$A$5:$A$1000,0)),"Unknown client ID"))</f>
        <v/>
      </c>
      <c r="E628" s="16"/>
      <c r="F628" s="16"/>
      <c r="G628" s="17"/>
      <c r="J628" s="12" t="str">
        <f>IF($A628="","",IF(COUNTIFS(Tasks!$B$5:$B$1000,$A628,Tasks!$A$5:$A$1000,"&lt;&gt;")=0,0,COUNTIFS(Tasks!$B$5:$B$1000,$A628,Tasks!$A$5:$A$1000,"&lt;&gt;",Tasks!$D$5:$D$1000,"Done")/COUNTIFS(Tasks!$B$5:$B$1000,$A628,Tasks!$A$5:$A$1000,"&lt;&gt;")))</f>
        <v/>
      </c>
      <c r="K628" s="11" t="str">
        <f>IF(OR($A628="",$F628=""),"",$F628-Overview!$B$3)</f>
        <v/>
      </c>
    </row>
    <row r="629" spans="4:11" x14ac:dyDescent="0.25">
      <c r="D629" s="18" t="str">
        <f>IF($C629="","",IFERROR(INDEX(Clients!$B$5:$B$1000,MATCH($C629,Clients!$A$5:$A$1000,0)),"Unknown client ID"))</f>
        <v/>
      </c>
      <c r="E629" s="16"/>
      <c r="F629" s="16"/>
      <c r="G629" s="17"/>
      <c r="J629" s="12" t="str">
        <f>IF($A629="","",IF(COUNTIFS(Tasks!$B$5:$B$1000,$A629,Tasks!$A$5:$A$1000,"&lt;&gt;")=0,0,COUNTIFS(Tasks!$B$5:$B$1000,$A629,Tasks!$A$5:$A$1000,"&lt;&gt;",Tasks!$D$5:$D$1000,"Done")/COUNTIFS(Tasks!$B$5:$B$1000,$A629,Tasks!$A$5:$A$1000,"&lt;&gt;")))</f>
        <v/>
      </c>
      <c r="K629" s="11" t="str">
        <f>IF(OR($A629="",$F629=""),"",$F629-Overview!$B$3)</f>
        <v/>
      </c>
    </row>
    <row r="630" spans="4:11" x14ac:dyDescent="0.25">
      <c r="D630" s="18" t="str">
        <f>IF($C630="","",IFERROR(INDEX(Clients!$B$5:$B$1000,MATCH($C630,Clients!$A$5:$A$1000,0)),"Unknown client ID"))</f>
        <v/>
      </c>
      <c r="E630" s="16"/>
      <c r="F630" s="16"/>
      <c r="G630" s="17"/>
      <c r="J630" s="12" t="str">
        <f>IF($A630="","",IF(COUNTIFS(Tasks!$B$5:$B$1000,$A630,Tasks!$A$5:$A$1000,"&lt;&gt;")=0,0,COUNTIFS(Tasks!$B$5:$B$1000,$A630,Tasks!$A$5:$A$1000,"&lt;&gt;",Tasks!$D$5:$D$1000,"Done")/COUNTIFS(Tasks!$B$5:$B$1000,$A630,Tasks!$A$5:$A$1000,"&lt;&gt;")))</f>
        <v/>
      </c>
      <c r="K630" s="11" t="str">
        <f>IF(OR($A630="",$F630=""),"",$F630-Overview!$B$3)</f>
        <v/>
      </c>
    </row>
    <row r="631" spans="4:11" x14ac:dyDescent="0.25">
      <c r="D631" s="18" t="str">
        <f>IF($C631="","",IFERROR(INDEX(Clients!$B$5:$B$1000,MATCH($C631,Clients!$A$5:$A$1000,0)),"Unknown client ID"))</f>
        <v/>
      </c>
      <c r="E631" s="16"/>
      <c r="F631" s="16"/>
      <c r="G631" s="17"/>
      <c r="J631" s="12" t="str">
        <f>IF($A631="","",IF(COUNTIFS(Tasks!$B$5:$B$1000,$A631,Tasks!$A$5:$A$1000,"&lt;&gt;")=0,0,COUNTIFS(Tasks!$B$5:$B$1000,$A631,Tasks!$A$5:$A$1000,"&lt;&gt;",Tasks!$D$5:$D$1000,"Done")/COUNTIFS(Tasks!$B$5:$B$1000,$A631,Tasks!$A$5:$A$1000,"&lt;&gt;")))</f>
        <v/>
      </c>
      <c r="K631" s="11" t="str">
        <f>IF(OR($A631="",$F631=""),"",$F631-Overview!$B$3)</f>
        <v/>
      </c>
    </row>
    <row r="632" spans="4:11" x14ac:dyDescent="0.25">
      <c r="D632" s="18" t="str">
        <f>IF($C632="","",IFERROR(INDEX(Clients!$B$5:$B$1000,MATCH($C632,Clients!$A$5:$A$1000,0)),"Unknown client ID"))</f>
        <v/>
      </c>
      <c r="E632" s="16"/>
      <c r="F632" s="16"/>
      <c r="G632" s="17"/>
      <c r="J632" s="12" t="str">
        <f>IF($A632="","",IF(COUNTIFS(Tasks!$B$5:$B$1000,$A632,Tasks!$A$5:$A$1000,"&lt;&gt;")=0,0,COUNTIFS(Tasks!$B$5:$B$1000,$A632,Tasks!$A$5:$A$1000,"&lt;&gt;",Tasks!$D$5:$D$1000,"Done")/COUNTIFS(Tasks!$B$5:$B$1000,$A632,Tasks!$A$5:$A$1000,"&lt;&gt;")))</f>
        <v/>
      </c>
      <c r="K632" s="11" t="str">
        <f>IF(OR($A632="",$F632=""),"",$F632-Overview!$B$3)</f>
        <v/>
      </c>
    </row>
    <row r="633" spans="4:11" x14ac:dyDescent="0.25">
      <c r="D633" s="18" t="str">
        <f>IF($C633="","",IFERROR(INDEX(Clients!$B$5:$B$1000,MATCH($C633,Clients!$A$5:$A$1000,0)),"Unknown client ID"))</f>
        <v/>
      </c>
      <c r="E633" s="16"/>
      <c r="F633" s="16"/>
      <c r="G633" s="17"/>
      <c r="J633" s="12" t="str">
        <f>IF($A633="","",IF(COUNTIFS(Tasks!$B$5:$B$1000,$A633,Tasks!$A$5:$A$1000,"&lt;&gt;")=0,0,COUNTIFS(Tasks!$B$5:$B$1000,$A633,Tasks!$A$5:$A$1000,"&lt;&gt;",Tasks!$D$5:$D$1000,"Done")/COUNTIFS(Tasks!$B$5:$B$1000,$A633,Tasks!$A$5:$A$1000,"&lt;&gt;")))</f>
        <v/>
      </c>
      <c r="K633" s="11" t="str">
        <f>IF(OR($A633="",$F633=""),"",$F633-Overview!$B$3)</f>
        <v/>
      </c>
    </row>
    <row r="634" spans="4:11" x14ac:dyDescent="0.25">
      <c r="D634" s="18" t="str">
        <f>IF($C634="","",IFERROR(INDEX(Clients!$B$5:$B$1000,MATCH($C634,Clients!$A$5:$A$1000,0)),"Unknown client ID"))</f>
        <v/>
      </c>
      <c r="E634" s="16"/>
      <c r="F634" s="16"/>
      <c r="G634" s="17"/>
      <c r="J634" s="12" t="str">
        <f>IF($A634="","",IF(COUNTIFS(Tasks!$B$5:$B$1000,$A634,Tasks!$A$5:$A$1000,"&lt;&gt;")=0,0,COUNTIFS(Tasks!$B$5:$B$1000,$A634,Tasks!$A$5:$A$1000,"&lt;&gt;",Tasks!$D$5:$D$1000,"Done")/COUNTIFS(Tasks!$B$5:$B$1000,$A634,Tasks!$A$5:$A$1000,"&lt;&gt;")))</f>
        <v/>
      </c>
      <c r="K634" s="11" t="str">
        <f>IF(OR($A634="",$F634=""),"",$F634-Overview!$B$3)</f>
        <v/>
      </c>
    </row>
    <row r="635" spans="4:11" x14ac:dyDescent="0.25">
      <c r="D635" s="18" t="str">
        <f>IF($C635="","",IFERROR(INDEX(Clients!$B$5:$B$1000,MATCH($C635,Clients!$A$5:$A$1000,0)),"Unknown client ID"))</f>
        <v/>
      </c>
      <c r="E635" s="16"/>
      <c r="F635" s="16"/>
      <c r="G635" s="17"/>
      <c r="J635" s="12" t="str">
        <f>IF($A635="","",IF(COUNTIFS(Tasks!$B$5:$B$1000,$A635,Tasks!$A$5:$A$1000,"&lt;&gt;")=0,0,COUNTIFS(Tasks!$B$5:$B$1000,$A635,Tasks!$A$5:$A$1000,"&lt;&gt;",Tasks!$D$5:$D$1000,"Done")/COUNTIFS(Tasks!$B$5:$B$1000,$A635,Tasks!$A$5:$A$1000,"&lt;&gt;")))</f>
        <v/>
      </c>
      <c r="K635" s="11" t="str">
        <f>IF(OR($A635="",$F635=""),"",$F635-Overview!$B$3)</f>
        <v/>
      </c>
    </row>
    <row r="636" spans="4:11" x14ac:dyDescent="0.25">
      <c r="D636" s="18" t="str">
        <f>IF($C636="","",IFERROR(INDEX(Clients!$B$5:$B$1000,MATCH($C636,Clients!$A$5:$A$1000,0)),"Unknown client ID"))</f>
        <v/>
      </c>
      <c r="E636" s="16"/>
      <c r="F636" s="16"/>
      <c r="G636" s="17"/>
      <c r="J636" s="12" t="str">
        <f>IF($A636="","",IF(COUNTIFS(Tasks!$B$5:$B$1000,$A636,Tasks!$A$5:$A$1000,"&lt;&gt;")=0,0,COUNTIFS(Tasks!$B$5:$B$1000,$A636,Tasks!$A$5:$A$1000,"&lt;&gt;",Tasks!$D$5:$D$1000,"Done")/COUNTIFS(Tasks!$B$5:$B$1000,$A636,Tasks!$A$5:$A$1000,"&lt;&gt;")))</f>
        <v/>
      </c>
      <c r="K636" s="11" t="str">
        <f>IF(OR($A636="",$F636=""),"",$F636-Overview!$B$3)</f>
        <v/>
      </c>
    </row>
    <row r="637" spans="4:11" x14ac:dyDescent="0.25">
      <c r="D637" s="18" t="str">
        <f>IF($C637="","",IFERROR(INDEX(Clients!$B$5:$B$1000,MATCH($C637,Clients!$A$5:$A$1000,0)),"Unknown client ID"))</f>
        <v/>
      </c>
      <c r="E637" s="16"/>
      <c r="F637" s="16"/>
      <c r="G637" s="17"/>
      <c r="J637" s="12" t="str">
        <f>IF($A637="","",IF(COUNTIFS(Tasks!$B$5:$B$1000,$A637,Tasks!$A$5:$A$1000,"&lt;&gt;")=0,0,COUNTIFS(Tasks!$B$5:$B$1000,$A637,Tasks!$A$5:$A$1000,"&lt;&gt;",Tasks!$D$5:$D$1000,"Done")/COUNTIFS(Tasks!$B$5:$B$1000,$A637,Tasks!$A$5:$A$1000,"&lt;&gt;")))</f>
        <v/>
      </c>
      <c r="K637" s="11" t="str">
        <f>IF(OR($A637="",$F637=""),"",$F637-Overview!$B$3)</f>
        <v/>
      </c>
    </row>
    <row r="638" spans="4:11" x14ac:dyDescent="0.25">
      <c r="D638" s="18" t="str">
        <f>IF($C638="","",IFERROR(INDEX(Clients!$B$5:$B$1000,MATCH($C638,Clients!$A$5:$A$1000,0)),"Unknown client ID"))</f>
        <v/>
      </c>
      <c r="E638" s="16"/>
      <c r="F638" s="16"/>
      <c r="G638" s="17"/>
      <c r="J638" s="12" t="str">
        <f>IF($A638="","",IF(COUNTIFS(Tasks!$B$5:$B$1000,$A638,Tasks!$A$5:$A$1000,"&lt;&gt;")=0,0,COUNTIFS(Tasks!$B$5:$B$1000,$A638,Tasks!$A$5:$A$1000,"&lt;&gt;",Tasks!$D$5:$D$1000,"Done")/COUNTIFS(Tasks!$B$5:$B$1000,$A638,Tasks!$A$5:$A$1000,"&lt;&gt;")))</f>
        <v/>
      </c>
      <c r="K638" s="11" t="str">
        <f>IF(OR($A638="",$F638=""),"",$F638-Overview!$B$3)</f>
        <v/>
      </c>
    </row>
    <row r="639" spans="4:11" x14ac:dyDescent="0.25">
      <c r="D639" s="18" t="str">
        <f>IF($C639="","",IFERROR(INDEX(Clients!$B$5:$B$1000,MATCH($C639,Clients!$A$5:$A$1000,0)),"Unknown client ID"))</f>
        <v/>
      </c>
      <c r="E639" s="16"/>
      <c r="F639" s="16"/>
      <c r="G639" s="17"/>
      <c r="J639" s="12" t="str">
        <f>IF($A639="","",IF(COUNTIFS(Tasks!$B$5:$B$1000,$A639,Tasks!$A$5:$A$1000,"&lt;&gt;")=0,0,COUNTIFS(Tasks!$B$5:$B$1000,$A639,Tasks!$A$5:$A$1000,"&lt;&gt;",Tasks!$D$5:$D$1000,"Done")/COUNTIFS(Tasks!$B$5:$B$1000,$A639,Tasks!$A$5:$A$1000,"&lt;&gt;")))</f>
        <v/>
      </c>
      <c r="K639" s="11" t="str">
        <f>IF(OR($A639="",$F639=""),"",$F639-Overview!$B$3)</f>
        <v/>
      </c>
    </row>
    <row r="640" spans="4:11" x14ac:dyDescent="0.25">
      <c r="D640" s="18" t="str">
        <f>IF($C640="","",IFERROR(INDEX(Clients!$B$5:$B$1000,MATCH($C640,Clients!$A$5:$A$1000,0)),"Unknown client ID"))</f>
        <v/>
      </c>
      <c r="E640" s="16"/>
      <c r="F640" s="16"/>
      <c r="G640" s="17"/>
      <c r="J640" s="12" t="str">
        <f>IF($A640="","",IF(COUNTIFS(Tasks!$B$5:$B$1000,$A640,Tasks!$A$5:$A$1000,"&lt;&gt;")=0,0,COUNTIFS(Tasks!$B$5:$B$1000,$A640,Tasks!$A$5:$A$1000,"&lt;&gt;",Tasks!$D$5:$D$1000,"Done")/COUNTIFS(Tasks!$B$5:$B$1000,$A640,Tasks!$A$5:$A$1000,"&lt;&gt;")))</f>
        <v/>
      </c>
      <c r="K640" s="11" t="str">
        <f>IF(OR($A640="",$F640=""),"",$F640-Overview!$B$3)</f>
        <v/>
      </c>
    </row>
    <row r="641" spans="4:11" x14ac:dyDescent="0.25">
      <c r="D641" s="18" t="str">
        <f>IF($C641="","",IFERROR(INDEX(Clients!$B$5:$B$1000,MATCH($C641,Clients!$A$5:$A$1000,0)),"Unknown client ID"))</f>
        <v/>
      </c>
      <c r="E641" s="16"/>
      <c r="F641" s="16"/>
      <c r="G641" s="17"/>
      <c r="J641" s="12" t="str">
        <f>IF($A641="","",IF(COUNTIFS(Tasks!$B$5:$B$1000,$A641,Tasks!$A$5:$A$1000,"&lt;&gt;")=0,0,COUNTIFS(Tasks!$B$5:$B$1000,$A641,Tasks!$A$5:$A$1000,"&lt;&gt;",Tasks!$D$5:$D$1000,"Done")/COUNTIFS(Tasks!$B$5:$B$1000,$A641,Tasks!$A$5:$A$1000,"&lt;&gt;")))</f>
        <v/>
      </c>
      <c r="K641" s="11" t="str">
        <f>IF(OR($A641="",$F641=""),"",$F641-Overview!$B$3)</f>
        <v/>
      </c>
    </row>
    <row r="642" spans="4:11" x14ac:dyDescent="0.25">
      <c r="D642" s="18" t="str">
        <f>IF($C642="","",IFERROR(INDEX(Clients!$B$5:$B$1000,MATCH($C642,Clients!$A$5:$A$1000,0)),"Unknown client ID"))</f>
        <v/>
      </c>
      <c r="E642" s="16"/>
      <c r="F642" s="16"/>
      <c r="G642" s="17"/>
      <c r="J642" s="12" t="str">
        <f>IF($A642="","",IF(COUNTIFS(Tasks!$B$5:$B$1000,$A642,Tasks!$A$5:$A$1000,"&lt;&gt;")=0,0,COUNTIFS(Tasks!$B$5:$B$1000,$A642,Tasks!$A$5:$A$1000,"&lt;&gt;",Tasks!$D$5:$D$1000,"Done")/COUNTIFS(Tasks!$B$5:$B$1000,$A642,Tasks!$A$5:$A$1000,"&lt;&gt;")))</f>
        <v/>
      </c>
      <c r="K642" s="11" t="str">
        <f>IF(OR($A642="",$F642=""),"",$F642-Overview!$B$3)</f>
        <v/>
      </c>
    </row>
    <row r="643" spans="4:11" x14ac:dyDescent="0.25">
      <c r="D643" s="18" t="str">
        <f>IF($C643="","",IFERROR(INDEX(Clients!$B$5:$B$1000,MATCH($C643,Clients!$A$5:$A$1000,0)),"Unknown client ID"))</f>
        <v/>
      </c>
      <c r="E643" s="16"/>
      <c r="F643" s="16"/>
      <c r="G643" s="17"/>
      <c r="J643" s="12" t="str">
        <f>IF($A643="","",IF(COUNTIFS(Tasks!$B$5:$B$1000,$A643,Tasks!$A$5:$A$1000,"&lt;&gt;")=0,0,COUNTIFS(Tasks!$B$5:$B$1000,$A643,Tasks!$A$5:$A$1000,"&lt;&gt;",Tasks!$D$5:$D$1000,"Done")/COUNTIFS(Tasks!$B$5:$B$1000,$A643,Tasks!$A$5:$A$1000,"&lt;&gt;")))</f>
        <v/>
      </c>
      <c r="K643" s="11" t="str">
        <f>IF(OR($A643="",$F643=""),"",$F643-Overview!$B$3)</f>
        <v/>
      </c>
    </row>
    <row r="644" spans="4:11" x14ac:dyDescent="0.25">
      <c r="D644" s="18" t="str">
        <f>IF($C644="","",IFERROR(INDEX(Clients!$B$5:$B$1000,MATCH($C644,Clients!$A$5:$A$1000,0)),"Unknown client ID"))</f>
        <v/>
      </c>
      <c r="E644" s="16"/>
      <c r="F644" s="16"/>
      <c r="G644" s="17"/>
      <c r="J644" s="12" t="str">
        <f>IF($A644="","",IF(COUNTIFS(Tasks!$B$5:$B$1000,$A644,Tasks!$A$5:$A$1000,"&lt;&gt;")=0,0,COUNTIFS(Tasks!$B$5:$B$1000,$A644,Tasks!$A$5:$A$1000,"&lt;&gt;",Tasks!$D$5:$D$1000,"Done")/COUNTIFS(Tasks!$B$5:$B$1000,$A644,Tasks!$A$5:$A$1000,"&lt;&gt;")))</f>
        <v/>
      </c>
      <c r="K644" s="11" t="str">
        <f>IF(OR($A644="",$F644=""),"",$F644-Overview!$B$3)</f>
        <v/>
      </c>
    </row>
    <row r="645" spans="4:11" x14ac:dyDescent="0.25">
      <c r="D645" s="18" t="str">
        <f>IF($C645="","",IFERROR(INDEX(Clients!$B$5:$B$1000,MATCH($C645,Clients!$A$5:$A$1000,0)),"Unknown client ID"))</f>
        <v/>
      </c>
      <c r="E645" s="16"/>
      <c r="F645" s="16"/>
      <c r="G645" s="17"/>
      <c r="J645" s="12" t="str">
        <f>IF($A645="","",IF(COUNTIFS(Tasks!$B$5:$B$1000,$A645,Tasks!$A$5:$A$1000,"&lt;&gt;")=0,0,COUNTIFS(Tasks!$B$5:$B$1000,$A645,Tasks!$A$5:$A$1000,"&lt;&gt;",Tasks!$D$5:$D$1000,"Done")/COUNTIFS(Tasks!$B$5:$B$1000,$A645,Tasks!$A$5:$A$1000,"&lt;&gt;")))</f>
        <v/>
      </c>
      <c r="K645" s="11" t="str">
        <f>IF(OR($A645="",$F645=""),"",$F645-Overview!$B$3)</f>
        <v/>
      </c>
    </row>
    <row r="646" spans="4:11" x14ac:dyDescent="0.25">
      <c r="D646" s="18" t="str">
        <f>IF($C646="","",IFERROR(INDEX(Clients!$B$5:$B$1000,MATCH($C646,Clients!$A$5:$A$1000,0)),"Unknown client ID"))</f>
        <v/>
      </c>
      <c r="E646" s="16"/>
      <c r="F646" s="16"/>
      <c r="G646" s="17"/>
      <c r="J646" s="12" t="str">
        <f>IF($A646="","",IF(COUNTIFS(Tasks!$B$5:$B$1000,$A646,Tasks!$A$5:$A$1000,"&lt;&gt;")=0,0,COUNTIFS(Tasks!$B$5:$B$1000,$A646,Tasks!$A$5:$A$1000,"&lt;&gt;",Tasks!$D$5:$D$1000,"Done")/COUNTIFS(Tasks!$B$5:$B$1000,$A646,Tasks!$A$5:$A$1000,"&lt;&gt;")))</f>
        <v/>
      </c>
      <c r="K646" s="11" t="str">
        <f>IF(OR($A646="",$F646=""),"",$F646-Overview!$B$3)</f>
        <v/>
      </c>
    </row>
    <row r="647" spans="4:11" x14ac:dyDescent="0.25">
      <c r="D647" s="18" t="str">
        <f>IF($C647="","",IFERROR(INDEX(Clients!$B$5:$B$1000,MATCH($C647,Clients!$A$5:$A$1000,0)),"Unknown client ID"))</f>
        <v/>
      </c>
      <c r="E647" s="16"/>
      <c r="F647" s="16"/>
      <c r="G647" s="17"/>
      <c r="J647" s="12" t="str">
        <f>IF($A647="","",IF(COUNTIFS(Tasks!$B$5:$B$1000,$A647,Tasks!$A$5:$A$1000,"&lt;&gt;")=0,0,COUNTIFS(Tasks!$B$5:$B$1000,$A647,Tasks!$A$5:$A$1000,"&lt;&gt;",Tasks!$D$5:$D$1000,"Done")/COUNTIFS(Tasks!$B$5:$B$1000,$A647,Tasks!$A$5:$A$1000,"&lt;&gt;")))</f>
        <v/>
      </c>
      <c r="K647" s="11" t="str">
        <f>IF(OR($A647="",$F647=""),"",$F647-Overview!$B$3)</f>
        <v/>
      </c>
    </row>
    <row r="648" spans="4:11" x14ac:dyDescent="0.25">
      <c r="D648" s="18" t="str">
        <f>IF($C648="","",IFERROR(INDEX(Clients!$B$5:$B$1000,MATCH($C648,Clients!$A$5:$A$1000,0)),"Unknown client ID"))</f>
        <v/>
      </c>
      <c r="E648" s="16"/>
      <c r="F648" s="16"/>
      <c r="G648" s="17"/>
      <c r="J648" s="12" t="str">
        <f>IF($A648="","",IF(COUNTIFS(Tasks!$B$5:$B$1000,$A648,Tasks!$A$5:$A$1000,"&lt;&gt;")=0,0,COUNTIFS(Tasks!$B$5:$B$1000,$A648,Tasks!$A$5:$A$1000,"&lt;&gt;",Tasks!$D$5:$D$1000,"Done")/COUNTIFS(Tasks!$B$5:$B$1000,$A648,Tasks!$A$5:$A$1000,"&lt;&gt;")))</f>
        <v/>
      </c>
      <c r="K648" s="11" t="str">
        <f>IF(OR($A648="",$F648=""),"",$F648-Overview!$B$3)</f>
        <v/>
      </c>
    </row>
    <row r="649" spans="4:11" x14ac:dyDescent="0.25">
      <c r="D649" s="18" t="str">
        <f>IF($C649="","",IFERROR(INDEX(Clients!$B$5:$B$1000,MATCH($C649,Clients!$A$5:$A$1000,0)),"Unknown client ID"))</f>
        <v/>
      </c>
      <c r="E649" s="16"/>
      <c r="F649" s="16"/>
      <c r="G649" s="17"/>
      <c r="J649" s="12" t="str">
        <f>IF($A649="","",IF(COUNTIFS(Tasks!$B$5:$B$1000,$A649,Tasks!$A$5:$A$1000,"&lt;&gt;")=0,0,COUNTIFS(Tasks!$B$5:$B$1000,$A649,Tasks!$A$5:$A$1000,"&lt;&gt;",Tasks!$D$5:$D$1000,"Done")/COUNTIFS(Tasks!$B$5:$B$1000,$A649,Tasks!$A$5:$A$1000,"&lt;&gt;")))</f>
        <v/>
      </c>
      <c r="K649" s="11" t="str">
        <f>IF(OR($A649="",$F649=""),"",$F649-Overview!$B$3)</f>
        <v/>
      </c>
    </row>
    <row r="650" spans="4:11" x14ac:dyDescent="0.25">
      <c r="D650" s="18" t="str">
        <f>IF($C650="","",IFERROR(INDEX(Clients!$B$5:$B$1000,MATCH($C650,Clients!$A$5:$A$1000,0)),"Unknown client ID"))</f>
        <v/>
      </c>
      <c r="E650" s="16"/>
      <c r="F650" s="16"/>
      <c r="G650" s="17"/>
      <c r="J650" s="12" t="str">
        <f>IF($A650="","",IF(COUNTIFS(Tasks!$B$5:$B$1000,$A650,Tasks!$A$5:$A$1000,"&lt;&gt;")=0,0,COUNTIFS(Tasks!$B$5:$B$1000,$A650,Tasks!$A$5:$A$1000,"&lt;&gt;",Tasks!$D$5:$D$1000,"Done")/COUNTIFS(Tasks!$B$5:$B$1000,$A650,Tasks!$A$5:$A$1000,"&lt;&gt;")))</f>
        <v/>
      </c>
      <c r="K650" s="11" t="str">
        <f>IF(OR($A650="",$F650=""),"",$F650-Overview!$B$3)</f>
        <v/>
      </c>
    </row>
    <row r="651" spans="4:11" x14ac:dyDescent="0.25">
      <c r="D651" s="18" t="str">
        <f>IF($C651="","",IFERROR(INDEX(Clients!$B$5:$B$1000,MATCH($C651,Clients!$A$5:$A$1000,0)),"Unknown client ID"))</f>
        <v/>
      </c>
      <c r="E651" s="16"/>
      <c r="F651" s="16"/>
      <c r="G651" s="17"/>
      <c r="J651" s="12" t="str">
        <f>IF($A651="","",IF(COUNTIFS(Tasks!$B$5:$B$1000,$A651,Tasks!$A$5:$A$1000,"&lt;&gt;")=0,0,COUNTIFS(Tasks!$B$5:$B$1000,$A651,Tasks!$A$5:$A$1000,"&lt;&gt;",Tasks!$D$5:$D$1000,"Done")/COUNTIFS(Tasks!$B$5:$B$1000,$A651,Tasks!$A$5:$A$1000,"&lt;&gt;")))</f>
        <v/>
      </c>
      <c r="K651" s="11" t="str">
        <f>IF(OR($A651="",$F651=""),"",$F651-Overview!$B$3)</f>
        <v/>
      </c>
    </row>
    <row r="652" spans="4:11" x14ac:dyDescent="0.25">
      <c r="D652" s="18" t="str">
        <f>IF($C652="","",IFERROR(INDEX(Clients!$B$5:$B$1000,MATCH($C652,Clients!$A$5:$A$1000,0)),"Unknown client ID"))</f>
        <v/>
      </c>
      <c r="E652" s="16"/>
      <c r="F652" s="16"/>
      <c r="G652" s="17"/>
      <c r="J652" s="12" t="str">
        <f>IF($A652="","",IF(COUNTIFS(Tasks!$B$5:$B$1000,$A652,Tasks!$A$5:$A$1000,"&lt;&gt;")=0,0,COUNTIFS(Tasks!$B$5:$B$1000,$A652,Tasks!$A$5:$A$1000,"&lt;&gt;",Tasks!$D$5:$D$1000,"Done")/COUNTIFS(Tasks!$B$5:$B$1000,$A652,Tasks!$A$5:$A$1000,"&lt;&gt;")))</f>
        <v/>
      </c>
      <c r="K652" s="11" t="str">
        <f>IF(OR($A652="",$F652=""),"",$F652-Overview!$B$3)</f>
        <v/>
      </c>
    </row>
    <row r="653" spans="4:11" x14ac:dyDescent="0.25">
      <c r="D653" s="18" t="str">
        <f>IF($C653="","",IFERROR(INDEX(Clients!$B$5:$B$1000,MATCH($C653,Clients!$A$5:$A$1000,0)),"Unknown client ID"))</f>
        <v/>
      </c>
      <c r="E653" s="16"/>
      <c r="F653" s="16"/>
      <c r="G653" s="17"/>
      <c r="J653" s="12" t="str">
        <f>IF($A653="","",IF(COUNTIFS(Tasks!$B$5:$B$1000,$A653,Tasks!$A$5:$A$1000,"&lt;&gt;")=0,0,COUNTIFS(Tasks!$B$5:$B$1000,$A653,Tasks!$A$5:$A$1000,"&lt;&gt;",Tasks!$D$5:$D$1000,"Done")/COUNTIFS(Tasks!$B$5:$B$1000,$A653,Tasks!$A$5:$A$1000,"&lt;&gt;")))</f>
        <v/>
      </c>
      <c r="K653" s="11" t="str">
        <f>IF(OR($A653="",$F653=""),"",$F653-Overview!$B$3)</f>
        <v/>
      </c>
    </row>
    <row r="654" spans="4:11" x14ac:dyDescent="0.25">
      <c r="D654" s="18" t="str">
        <f>IF($C654="","",IFERROR(INDEX(Clients!$B$5:$B$1000,MATCH($C654,Clients!$A$5:$A$1000,0)),"Unknown client ID"))</f>
        <v/>
      </c>
      <c r="E654" s="16"/>
      <c r="F654" s="16"/>
      <c r="G654" s="17"/>
      <c r="J654" s="12" t="str">
        <f>IF($A654="","",IF(COUNTIFS(Tasks!$B$5:$B$1000,$A654,Tasks!$A$5:$A$1000,"&lt;&gt;")=0,0,COUNTIFS(Tasks!$B$5:$B$1000,$A654,Tasks!$A$5:$A$1000,"&lt;&gt;",Tasks!$D$5:$D$1000,"Done")/COUNTIFS(Tasks!$B$5:$B$1000,$A654,Tasks!$A$5:$A$1000,"&lt;&gt;")))</f>
        <v/>
      </c>
      <c r="K654" s="11" t="str">
        <f>IF(OR($A654="",$F654=""),"",$F654-Overview!$B$3)</f>
        <v/>
      </c>
    </row>
    <row r="655" spans="4:11" x14ac:dyDescent="0.25">
      <c r="D655" s="18" t="str">
        <f>IF($C655="","",IFERROR(INDEX(Clients!$B$5:$B$1000,MATCH($C655,Clients!$A$5:$A$1000,0)),"Unknown client ID"))</f>
        <v/>
      </c>
      <c r="E655" s="16"/>
      <c r="F655" s="16"/>
      <c r="G655" s="17"/>
      <c r="J655" s="12" t="str">
        <f>IF($A655="","",IF(COUNTIFS(Tasks!$B$5:$B$1000,$A655,Tasks!$A$5:$A$1000,"&lt;&gt;")=0,0,COUNTIFS(Tasks!$B$5:$B$1000,$A655,Tasks!$A$5:$A$1000,"&lt;&gt;",Tasks!$D$5:$D$1000,"Done")/COUNTIFS(Tasks!$B$5:$B$1000,$A655,Tasks!$A$5:$A$1000,"&lt;&gt;")))</f>
        <v/>
      </c>
      <c r="K655" s="11" t="str">
        <f>IF(OR($A655="",$F655=""),"",$F655-Overview!$B$3)</f>
        <v/>
      </c>
    </row>
    <row r="656" spans="4:11" x14ac:dyDescent="0.25">
      <c r="D656" s="18" t="str">
        <f>IF($C656="","",IFERROR(INDEX(Clients!$B$5:$B$1000,MATCH($C656,Clients!$A$5:$A$1000,0)),"Unknown client ID"))</f>
        <v/>
      </c>
      <c r="E656" s="16"/>
      <c r="F656" s="16"/>
      <c r="G656" s="17"/>
      <c r="J656" s="12" t="str">
        <f>IF($A656="","",IF(COUNTIFS(Tasks!$B$5:$B$1000,$A656,Tasks!$A$5:$A$1000,"&lt;&gt;")=0,0,COUNTIFS(Tasks!$B$5:$B$1000,$A656,Tasks!$A$5:$A$1000,"&lt;&gt;",Tasks!$D$5:$D$1000,"Done")/COUNTIFS(Tasks!$B$5:$B$1000,$A656,Tasks!$A$5:$A$1000,"&lt;&gt;")))</f>
        <v/>
      </c>
      <c r="K656" s="11" t="str">
        <f>IF(OR($A656="",$F656=""),"",$F656-Overview!$B$3)</f>
        <v/>
      </c>
    </row>
    <row r="657" spans="4:11" x14ac:dyDescent="0.25">
      <c r="D657" s="18" t="str">
        <f>IF($C657="","",IFERROR(INDEX(Clients!$B$5:$B$1000,MATCH($C657,Clients!$A$5:$A$1000,0)),"Unknown client ID"))</f>
        <v/>
      </c>
      <c r="E657" s="16"/>
      <c r="F657" s="16"/>
      <c r="G657" s="17"/>
      <c r="J657" s="12" t="str">
        <f>IF($A657="","",IF(COUNTIFS(Tasks!$B$5:$B$1000,$A657,Tasks!$A$5:$A$1000,"&lt;&gt;")=0,0,COUNTIFS(Tasks!$B$5:$B$1000,$A657,Tasks!$A$5:$A$1000,"&lt;&gt;",Tasks!$D$5:$D$1000,"Done")/COUNTIFS(Tasks!$B$5:$B$1000,$A657,Tasks!$A$5:$A$1000,"&lt;&gt;")))</f>
        <v/>
      </c>
      <c r="K657" s="11" t="str">
        <f>IF(OR($A657="",$F657=""),"",$F657-Overview!$B$3)</f>
        <v/>
      </c>
    </row>
    <row r="658" spans="4:11" x14ac:dyDescent="0.25">
      <c r="D658" s="18" t="str">
        <f>IF($C658="","",IFERROR(INDEX(Clients!$B$5:$B$1000,MATCH($C658,Clients!$A$5:$A$1000,0)),"Unknown client ID"))</f>
        <v/>
      </c>
      <c r="E658" s="16"/>
      <c r="F658" s="16"/>
      <c r="G658" s="17"/>
      <c r="J658" s="12" t="str">
        <f>IF($A658="","",IF(COUNTIFS(Tasks!$B$5:$B$1000,$A658,Tasks!$A$5:$A$1000,"&lt;&gt;")=0,0,COUNTIFS(Tasks!$B$5:$B$1000,$A658,Tasks!$A$5:$A$1000,"&lt;&gt;",Tasks!$D$5:$D$1000,"Done")/COUNTIFS(Tasks!$B$5:$B$1000,$A658,Tasks!$A$5:$A$1000,"&lt;&gt;")))</f>
        <v/>
      </c>
      <c r="K658" s="11" t="str">
        <f>IF(OR($A658="",$F658=""),"",$F658-Overview!$B$3)</f>
        <v/>
      </c>
    </row>
    <row r="659" spans="4:11" x14ac:dyDescent="0.25">
      <c r="D659" s="18" t="str">
        <f>IF($C659="","",IFERROR(INDEX(Clients!$B$5:$B$1000,MATCH($C659,Clients!$A$5:$A$1000,0)),"Unknown client ID"))</f>
        <v/>
      </c>
      <c r="E659" s="16"/>
      <c r="F659" s="16"/>
      <c r="G659" s="17"/>
      <c r="J659" s="12" t="str">
        <f>IF($A659="","",IF(COUNTIFS(Tasks!$B$5:$B$1000,$A659,Tasks!$A$5:$A$1000,"&lt;&gt;")=0,0,COUNTIFS(Tasks!$B$5:$B$1000,$A659,Tasks!$A$5:$A$1000,"&lt;&gt;",Tasks!$D$5:$D$1000,"Done")/COUNTIFS(Tasks!$B$5:$B$1000,$A659,Tasks!$A$5:$A$1000,"&lt;&gt;")))</f>
        <v/>
      </c>
      <c r="K659" s="11" t="str">
        <f>IF(OR($A659="",$F659=""),"",$F659-Overview!$B$3)</f>
        <v/>
      </c>
    </row>
    <row r="660" spans="4:11" x14ac:dyDescent="0.25">
      <c r="D660" s="18" t="str">
        <f>IF($C660="","",IFERROR(INDEX(Clients!$B$5:$B$1000,MATCH($C660,Clients!$A$5:$A$1000,0)),"Unknown client ID"))</f>
        <v/>
      </c>
      <c r="E660" s="16"/>
      <c r="F660" s="16"/>
      <c r="G660" s="17"/>
      <c r="J660" s="12" t="str">
        <f>IF($A660="","",IF(COUNTIFS(Tasks!$B$5:$B$1000,$A660,Tasks!$A$5:$A$1000,"&lt;&gt;")=0,0,COUNTIFS(Tasks!$B$5:$B$1000,$A660,Tasks!$A$5:$A$1000,"&lt;&gt;",Tasks!$D$5:$D$1000,"Done")/COUNTIFS(Tasks!$B$5:$B$1000,$A660,Tasks!$A$5:$A$1000,"&lt;&gt;")))</f>
        <v/>
      </c>
      <c r="K660" s="11" t="str">
        <f>IF(OR($A660="",$F660=""),"",$F660-Overview!$B$3)</f>
        <v/>
      </c>
    </row>
    <row r="661" spans="4:11" x14ac:dyDescent="0.25">
      <c r="D661" s="18" t="str">
        <f>IF($C661="","",IFERROR(INDEX(Clients!$B$5:$B$1000,MATCH($C661,Clients!$A$5:$A$1000,0)),"Unknown client ID"))</f>
        <v/>
      </c>
      <c r="E661" s="16"/>
      <c r="F661" s="16"/>
      <c r="G661" s="17"/>
      <c r="J661" s="12" t="str">
        <f>IF($A661="","",IF(COUNTIFS(Tasks!$B$5:$B$1000,$A661,Tasks!$A$5:$A$1000,"&lt;&gt;")=0,0,COUNTIFS(Tasks!$B$5:$B$1000,$A661,Tasks!$A$5:$A$1000,"&lt;&gt;",Tasks!$D$5:$D$1000,"Done")/COUNTIFS(Tasks!$B$5:$B$1000,$A661,Tasks!$A$5:$A$1000,"&lt;&gt;")))</f>
        <v/>
      </c>
      <c r="K661" s="11" t="str">
        <f>IF(OR($A661="",$F661=""),"",$F661-Overview!$B$3)</f>
        <v/>
      </c>
    </row>
    <row r="662" spans="4:11" x14ac:dyDescent="0.25">
      <c r="D662" s="18" t="str">
        <f>IF($C662="","",IFERROR(INDEX(Clients!$B$5:$B$1000,MATCH($C662,Clients!$A$5:$A$1000,0)),"Unknown client ID"))</f>
        <v/>
      </c>
      <c r="E662" s="16"/>
      <c r="F662" s="16"/>
      <c r="G662" s="17"/>
      <c r="J662" s="12" t="str">
        <f>IF($A662="","",IF(COUNTIFS(Tasks!$B$5:$B$1000,$A662,Tasks!$A$5:$A$1000,"&lt;&gt;")=0,0,COUNTIFS(Tasks!$B$5:$B$1000,$A662,Tasks!$A$5:$A$1000,"&lt;&gt;",Tasks!$D$5:$D$1000,"Done")/COUNTIFS(Tasks!$B$5:$B$1000,$A662,Tasks!$A$5:$A$1000,"&lt;&gt;")))</f>
        <v/>
      </c>
      <c r="K662" s="11" t="str">
        <f>IF(OR($A662="",$F662=""),"",$F662-Overview!$B$3)</f>
        <v/>
      </c>
    </row>
    <row r="663" spans="4:11" x14ac:dyDescent="0.25">
      <c r="D663" s="18" t="str">
        <f>IF($C663="","",IFERROR(INDEX(Clients!$B$5:$B$1000,MATCH($C663,Clients!$A$5:$A$1000,0)),"Unknown client ID"))</f>
        <v/>
      </c>
      <c r="E663" s="16"/>
      <c r="F663" s="16"/>
      <c r="G663" s="17"/>
      <c r="J663" s="12" t="str">
        <f>IF($A663="","",IF(COUNTIFS(Tasks!$B$5:$B$1000,$A663,Tasks!$A$5:$A$1000,"&lt;&gt;")=0,0,COUNTIFS(Tasks!$B$5:$B$1000,$A663,Tasks!$A$5:$A$1000,"&lt;&gt;",Tasks!$D$5:$D$1000,"Done")/COUNTIFS(Tasks!$B$5:$B$1000,$A663,Tasks!$A$5:$A$1000,"&lt;&gt;")))</f>
        <v/>
      </c>
      <c r="K663" s="11" t="str">
        <f>IF(OR($A663="",$F663=""),"",$F663-Overview!$B$3)</f>
        <v/>
      </c>
    </row>
    <row r="664" spans="4:11" x14ac:dyDescent="0.25">
      <c r="D664" s="18" t="str">
        <f>IF($C664="","",IFERROR(INDEX(Clients!$B$5:$B$1000,MATCH($C664,Clients!$A$5:$A$1000,0)),"Unknown client ID"))</f>
        <v/>
      </c>
      <c r="E664" s="16"/>
      <c r="F664" s="16"/>
      <c r="G664" s="17"/>
      <c r="J664" s="12" t="str">
        <f>IF($A664="","",IF(COUNTIFS(Tasks!$B$5:$B$1000,$A664,Tasks!$A$5:$A$1000,"&lt;&gt;")=0,0,COUNTIFS(Tasks!$B$5:$B$1000,$A664,Tasks!$A$5:$A$1000,"&lt;&gt;",Tasks!$D$5:$D$1000,"Done")/COUNTIFS(Tasks!$B$5:$B$1000,$A664,Tasks!$A$5:$A$1000,"&lt;&gt;")))</f>
        <v/>
      </c>
      <c r="K664" s="11" t="str">
        <f>IF(OR($A664="",$F664=""),"",$F664-Overview!$B$3)</f>
        <v/>
      </c>
    </row>
    <row r="665" spans="4:11" x14ac:dyDescent="0.25">
      <c r="D665" s="18" t="str">
        <f>IF($C665="","",IFERROR(INDEX(Clients!$B$5:$B$1000,MATCH($C665,Clients!$A$5:$A$1000,0)),"Unknown client ID"))</f>
        <v/>
      </c>
      <c r="E665" s="16"/>
      <c r="F665" s="16"/>
      <c r="G665" s="17"/>
      <c r="J665" s="12" t="str">
        <f>IF($A665="","",IF(COUNTIFS(Tasks!$B$5:$B$1000,$A665,Tasks!$A$5:$A$1000,"&lt;&gt;")=0,0,COUNTIFS(Tasks!$B$5:$B$1000,$A665,Tasks!$A$5:$A$1000,"&lt;&gt;",Tasks!$D$5:$D$1000,"Done")/COUNTIFS(Tasks!$B$5:$B$1000,$A665,Tasks!$A$5:$A$1000,"&lt;&gt;")))</f>
        <v/>
      </c>
      <c r="K665" s="11" t="str">
        <f>IF(OR($A665="",$F665=""),"",$F665-Overview!$B$3)</f>
        <v/>
      </c>
    </row>
    <row r="666" spans="4:11" x14ac:dyDescent="0.25">
      <c r="D666" s="18" t="str">
        <f>IF($C666="","",IFERROR(INDEX(Clients!$B$5:$B$1000,MATCH($C666,Clients!$A$5:$A$1000,0)),"Unknown client ID"))</f>
        <v/>
      </c>
      <c r="E666" s="16"/>
      <c r="F666" s="16"/>
      <c r="G666" s="17"/>
      <c r="J666" s="12" t="str">
        <f>IF($A666="","",IF(COUNTIFS(Tasks!$B$5:$B$1000,$A666,Tasks!$A$5:$A$1000,"&lt;&gt;")=0,0,COUNTIFS(Tasks!$B$5:$B$1000,$A666,Tasks!$A$5:$A$1000,"&lt;&gt;",Tasks!$D$5:$D$1000,"Done")/COUNTIFS(Tasks!$B$5:$B$1000,$A666,Tasks!$A$5:$A$1000,"&lt;&gt;")))</f>
        <v/>
      </c>
      <c r="K666" s="11" t="str">
        <f>IF(OR($A666="",$F666=""),"",$F666-Overview!$B$3)</f>
        <v/>
      </c>
    </row>
    <row r="667" spans="4:11" x14ac:dyDescent="0.25">
      <c r="D667" s="18" t="str">
        <f>IF($C667="","",IFERROR(INDEX(Clients!$B$5:$B$1000,MATCH($C667,Clients!$A$5:$A$1000,0)),"Unknown client ID"))</f>
        <v/>
      </c>
      <c r="E667" s="16"/>
      <c r="F667" s="16"/>
      <c r="G667" s="17"/>
      <c r="J667" s="12" t="str">
        <f>IF($A667="","",IF(COUNTIFS(Tasks!$B$5:$B$1000,$A667,Tasks!$A$5:$A$1000,"&lt;&gt;")=0,0,COUNTIFS(Tasks!$B$5:$B$1000,$A667,Tasks!$A$5:$A$1000,"&lt;&gt;",Tasks!$D$5:$D$1000,"Done")/COUNTIFS(Tasks!$B$5:$B$1000,$A667,Tasks!$A$5:$A$1000,"&lt;&gt;")))</f>
        <v/>
      </c>
      <c r="K667" s="11" t="str">
        <f>IF(OR($A667="",$F667=""),"",$F667-Overview!$B$3)</f>
        <v/>
      </c>
    </row>
    <row r="668" spans="4:11" x14ac:dyDescent="0.25">
      <c r="D668" s="18" t="str">
        <f>IF($C668="","",IFERROR(INDEX(Clients!$B$5:$B$1000,MATCH($C668,Clients!$A$5:$A$1000,0)),"Unknown client ID"))</f>
        <v/>
      </c>
      <c r="E668" s="16"/>
      <c r="F668" s="16"/>
      <c r="G668" s="17"/>
      <c r="J668" s="12" t="str">
        <f>IF($A668="","",IF(COUNTIFS(Tasks!$B$5:$B$1000,$A668,Tasks!$A$5:$A$1000,"&lt;&gt;")=0,0,COUNTIFS(Tasks!$B$5:$B$1000,$A668,Tasks!$A$5:$A$1000,"&lt;&gt;",Tasks!$D$5:$D$1000,"Done")/COUNTIFS(Tasks!$B$5:$B$1000,$A668,Tasks!$A$5:$A$1000,"&lt;&gt;")))</f>
        <v/>
      </c>
      <c r="K668" s="11" t="str">
        <f>IF(OR($A668="",$F668=""),"",$F668-Overview!$B$3)</f>
        <v/>
      </c>
    </row>
    <row r="669" spans="4:11" x14ac:dyDescent="0.25">
      <c r="D669" s="18" t="str">
        <f>IF($C669="","",IFERROR(INDEX(Clients!$B$5:$B$1000,MATCH($C669,Clients!$A$5:$A$1000,0)),"Unknown client ID"))</f>
        <v/>
      </c>
      <c r="E669" s="16"/>
      <c r="F669" s="16"/>
      <c r="G669" s="17"/>
      <c r="J669" s="12" t="str">
        <f>IF($A669="","",IF(COUNTIFS(Tasks!$B$5:$B$1000,$A669,Tasks!$A$5:$A$1000,"&lt;&gt;")=0,0,COUNTIFS(Tasks!$B$5:$B$1000,$A669,Tasks!$A$5:$A$1000,"&lt;&gt;",Tasks!$D$5:$D$1000,"Done")/COUNTIFS(Tasks!$B$5:$B$1000,$A669,Tasks!$A$5:$A$1000,"&lt;&gt;")))</f>
        <v/>
      </c>
      <c r="K669" s="11" t="str">
        <f>IF(OR($A669="",$F669=""),"",$F669-Overview!$B$3)</f>
        <v/>
      </c>
    </row>
    <row r="670" spans="4:11" x14ac:dyDescent="0.25">
      <c r="D670" s="18" t="str">
        <f>IF($C670="","",IFERROR(INDEX(Clients!$B$5:$B$1000,MATCH($C670,Clients!$A$5:$A$1000,0)),"Unknown client ID"))</f>
        <v/>
      </c>
      <c r="E670" s="16"/>
      <c r="F670" s="16"/>
      <c r="G670" s="17"/>
      <c r="J670" s="12" t="str">
        <f>IF($A670="","",IF(COUNTIFS(Tasks!$B$5:$B$1000,$A670,Tasks!$A$5:$A$1000,"&lt;&gt;")=0,0,COUNTIFS(Tasks!$B$5:$B$1000,$A670,Tasks!$A$5:$A$1000,"&lt;&gt;",Tasks!$D$5:$D$1000,"Done")/COUNTIFS(Tasks!$B$5:$B$1000,$A670,Tasks!$A$5:$A$1000,"&lt;&gt;")))</f>
        <v/>
      </c>
      <c r="K670" s="11" t="str">
        <f>IF(OR($A670="",$F670=""),"",$F670-Overview!$B$3)</f>
        <v/>
      </c>
    </row>
    <row r="671" spans="4:11" x14ac:dyDescent="0.25">
      <c r="D671" s="18" t="str">
        <f>IF($C671="","",IFERROR(INDEX(Clients!$B$5:$B$1000,MATCH($C671,Clients!$A$5:$A$1000,0)),"Unknown client ID"))</f>
        <v/>
      </c>
      <c r="E671" s="16"/>
      <c r="F671" s="16"/>
      <c r="G671" s="17"/>
      <c r="J671" s="12" t="str">
        <f>IF($A671="","",IF(COUNTIFS(Tasks!$B$5:$B$1000,$A671,Tasks!$A$5:$A$1000,"&lt;&gt;")=0,0,COUNTIFS(Tasks!$B$5:$B$1000,$A671,Tasks!$A$5:$A$1000,"&lt;&gt;",Tasks!$D$5:$D$1000,"Done")/COUNTIFS(Tasks!$B$5:$B$1000,$A671,Tasks!$A$5:$A$1000,"&lt;&gt;")))</f>
        <v/>
      </c>
      <c r="K671" s="11" t="str">
        <f>IF(OR($A671="",$F671=""),"",$F671-Overview!$B$3)</f>
        <v/>
      </c>
    </row>
    <row r="672" spans="4:11" x14ac:dyDescent="0.25">
      <c r="D672" s="18" t="str">
        <f>IF($C672="","",IFERROR(INDEX(Clients!$B$5:$B$1000,MATCH($C672,Clients!$A$5:$A$1000,0)),"Unknown client ID"))</f>
        <v/>
      </c>
      <c r="E672" s="16"/>
      <c r="F672" s="16"/>
      <c r="G672" s="17"/>
      <c r="J672" s="12" t="str">
        <f>IF($A672="","",IF(COUNTIFS(Tasks!$B$5:$B$1000,$A672,Tasks!$A$5:$A$1000,"&lt;&gt;")=0,0,COUNTIFS(Tasks!$B$5:$B$1000,$A672,Tasks!$A$5:$A$1000,"&lt;&gt;",Tasks!$D$5:$D$1000,"Done")/COUNTIFS(Tasks!$B$5:$B$1000,$A672,Tasks!$A$5:$A$1000,"&lt;&gt;")))</f>
        <v/>
      </c>
      <c r="K672" s="11" t="str">
        <f>IF(OR($A672="",$F672=""),"",$F672-Overview!$B$3)</f>
        <v/>
      </c>
    </row>
    <row r="673" spans="4:11" x14ac:dyDescent="0.25">
      <c r="D673" s="18" t="str">
        <f>IF($C673="","",IFERROR(INDEX(Clients!$B$5:$B$1000,MATCH($C673,Clients!$A$5:$A$1000,0)),"Unknown client ID"))</f>
        <v/>
      </c>
      <c r="E673" s="16"/>
      <c r="F673" s="16"/>
      <c r="G673" s="17"/>
      <c r="J673" s="12" t="str">
        <f>IF($A673="","",IF(COUNTIFS(Tasks!$B$5:$B$1000,$A673,Tasks!$A$5:$A$1000,"&lt;&gt;")=0,0,COUNTIFS(Tasks!$B$5:$B$1000,$A673,Tasks!$A$5:$A$1000,"&lt;&gt;",Tasks!$D$5:$D$1000,"Done")/COUNTIFS(Tasks!$B$5:$B$1000,$A673,Tasks!$A$5:$A$1000,"&lt;&gt;")))</f>
        <v/>
      </c>
      <c r="K673" s="11" t="str">
        <f>IF(OR($A673="",$F673=""),"",$F673-Overview!$B$3)</f>
        <v/>
      </c>
    </row>
    <row r="674" spans="4:11" x14ac:dyDescent="0.25">
      <c r="D674" s="18" t="str">
        <f>IF($C674="","",IFERROR(INDEX(Clients!$B$5:$B$1000,MATCH($C674,Clients!$A$5:$A$1000,0)),"Unknown client ID"))</f>
        <v/>
      </c>
      <c r="E674" s="16"/>
      <c r="F674" s="16"/>
      <c r="G674" s="17"/>
      <c r="J674" s="12" t="str">
        <f>IF($A674="","",IF(COUNTIFS(Tasks!$B$5:$B$1000,$A674,Tasks!$A$5:$A$1000,"&lt;&gt;")=0,0,COUNTIFS(Tasks!$B$5:$B$1000,$A674,Tasks!$A$5:$A$1000,"&lt;&gt;",Tasks!$D$5:$D$1000,"Done")/COUNTIFS(Tasks!$B$5:$B$1000,$A674,Tasks!$A$5:$A$1000,"&lt;&gt;")))</f>
        <v/>
      </c>
      <c r="K674" s="11" t="str">
        <f>IF(OR($A674="",$F674=""),"",$F674-Overview!$B$3)</f>
        <v/>
      </c>
    </row>
    <row r="675" spans="4:11" x14ac:dyDescent="0.25">
      <c r="D675" s="18" t="str">
        <f>IF($C675="","",IFERROR(INDEX(Clients!$B$5:$B$1000,MATCH($C675,Clients!$A$5:$A$1000,0)),"Unknown client ID"))</f>
        <v/>
      </c>
      <c r="E675" s="16"/>
      <c r="F675" s="16"/>
      <c r="G675" s="17"/>
      <c r="J675" s="12" t="str">
        <f>IF($A675="","",IF(COUNTIFS(Tasks!$B$5:$B$1000,$A675,Tasks!$A$5:$A$1000,"&lt;&gt;")=0,0,COUNTIFS(Tasks!$B$5:$B$1000,$A675,Tasks!$A$5:$A$1000,"&lt;&gt;",Tasks!$D$5:$D$1000,"Done")/COUNTIFS(Tasks!$B$5:$B$1000,$A675,Tasks!$A$5:$A$1000,"&lt;&gt;")))</f>
        <v/>
      </c>
      <c r="K675" s="11" t="str">
        <f>IF(OR($A675="",$F675=""),"",$F675-Overview!$B$3)</f>
        <v/>
      </c>
    </row>
    <row r="676" spans="4:11" x14ac:dyDescent="0.25">
      <c r="D676" s="18" t="str">
        <f>IF($C676="","",IFERROR(INDEX(Clients!$B$5:$B$1000,MATCH($C676,Clients!$A$5:$A$1000,0)),"Unknown client ID"))</f>
        <v/>
      </c>
      <c r="E676" s="16"/>
      <c r="F676" s="16"/>
      <c r="G676" s="17"/>
      <c r="J676" s="12" t="str">
        <f>IF($A676="","",IF(COUNTIFS(Tasks!$B$5:$B$1000,$A676,Tasks!$A$5:$A$1000,"&lt;&gt;")=0,0,COUNTIFS(Tasks!$B$5:$B$1000,$A676,Tasks!$A$5:$A$1000,"&lt;&gt;",Tasks!$D$5:$D$1000,"Done")/COUNTIFS(Tasks!$B$5:$B$1000,$A676,Tasks!$A$5:$A$1000,"&lt;&gt;")))</f>
        <v/>
      </c>
      <c r="K676" s="11" t="str">
        <f>IF(OR($A676="",$F676=""),"",$F676-Overview!$B$3)</f>
        <v/>
      </c>
    </row>
    <row r="677" spans="4:11" x14ac:dyDescent="0.25">
      <c r="D677" s="18" t="str">
        <f>IF($C677="","",IFERROR(INDEX(Clients!$B$5:$B$1000,MATCH($C677,Clients!$A$5:$A$1000,0)),"Unknown client ID"))</f>
        <v/>
      </c>
      <c r="E677" s="16"/>
      <c r="F677" s="16"/>
      <c r="G677" s="17"/>
      <c r="J677" s="12" t="str">
        <f>IF($A677="","",IF(COUNTIFS(Tasks!$B$5:$B$1000,$A677,Tasks!$A$5:$A$1000,"&lt;&gt;")=0,0,COUNTIFS(Tasks!$B$5:$B$1000,$A677,Tasks!$A$5:$A$1000,"&lt;&gt;",Tasks!$D$5:$D$1000,"Done")/COUNTIFS(Tasks!$B$5:$B$1000,$A677,Tasks!$A$5:$A$1000,"&lt;&gt;")))</f>
        <v/>
      </c>
      <c r="K677" s="11" t="str">
        <f>IF(OR($A677="",$F677=""),"",$F677-Overview!$B$3)</f>
        <v/>
      </c>
    </row>
    <row r="678" spans="4:11" x14ac:dyDescent="0.25">
      <c r="D678" s="18" t="str">
        <f>IF($C678="","",IFERROR(INDEX(Clients!$B$5:$B$1000,MATCH($C678,Clients!$A$5:$A$1000,0)),"Unknown client ID"))</f>
        <v/>
      </c>
      <c r="E678" s="16"/>
      <c r="F678" s="16"/>
      <c r="G678" s="17"/>
      <c r="J678" s="12" t="str">
        <f>IF($A678="","",IF(COUNTIFS(Tasks!$B$5:$B$1000,$A678,Tasks!$A$5:$A$1000,"&lt;&gt;")=0,0,COUNTIFS(Tasks!$B$5:$B$1000,$A678,Tasks!$A$5:$A$1000,"&lt;&gt;",Tasks!$D$5:$D$1000,"Done")/COUNTIFS(Tasks!$B$5:$B$1000,$A678,Tasks!$A$5:$A$1000,"&lt;&gt;")))</f>
        <v/>
      </c>
      <c r="K678" s="11" t="str">
        <f>IF(OR($A678="",$F678=""),"",$F678-Overview!$B$3)</f>
        <v/>
      </c>
    </row>
    <row r="679" spans="4:11" x14ac:dyDescent="0.25">
      <c r="D679" s="18" t="str">
        <f>IF($C679="","",IFERROR(INDEX(Clients!$B$5:$B$1000,MATCH($C679,Clients!$A$5:$A$1000,0)),"Unknown client ID"))</f>
        <v/>
      </c>
      <c r="E679" s="16"/>
      <c r="F679" s="16"/>
      <c r="G679" s="17"/>
      <c r="J679" s="12" t="str">
        <f>IF($A679="","",IF(COUNTIFS(Tasks!$B$5:$B$1000,$A679,Tasks!$A$5:$A$1000,"&lt;&gt;")=0,0,COUNTIFS(Tasks!$B$5:$B$1000,$A679,Tasks!$A$5:$A$1000,"&lt;&gt;",Tasks!$D$5:$D$1000,"Done")/COUNTIFS(Tasks!$B$5:$B$1000,$A679,Tasks!$A$5:$A$1000,"&lt;&gt;")))</f>
        <v/>
      </c>
      <c r="K679" s="11" t="str">
        <f>IF(OR($A679="",$F679=""),"",$F679-Overview!$B$3)</f>
        <v/>
      </c>
    </row>
    <row r="680" spans="4:11" x14ac:dyDescent="0.25">
      <c r="D680" s="18" t="str">
        <f>IF($C680="","",IFERROR(INDEX(Clients!$B$5:$B$1000,MATCH($C680,Clients!$A$5:$A$1000,0)),"Unknown client ID"))</f>
        <v/>
      </c>
      <c r="E680" s="16"/>
      <c r="F680" s="16"/>
      <c r="G680" s="17"/>
      <c r="J680" s="12" t="str">
        <f>IF($A680="","",IF(COUNTIFS(Tasks!$B$5:$B$1000,$A680,Tasks!$A$5:$A$1000,"&lt;&gt;")=0,0,COUNTIFS(Tasks!$B$5:$B$1000,$A680,Tasks!$A$5:$A$1000,"&lt;&gt;",Tasks!$D$5:$D$1000,"Done")/COUNTIFS(Tasks!$B$5:$B$1000,$A680,Tasks!$A$5:$A$1000,"&lt;&gt;")))</f>
        <v/>
      </c>
      <c r="K680" s="11" t="str">
        <f>IF(OR($A680="",$F680=""),"",$F680-Overview!$B$3)</f>
        <v/>
      </c>
    </row>
    <row r="681" spans="4:11" x14ac:dyDescent="0.25">
      <c r="D681" s="18" t="str">
        <f>IF($C681="","",IFERROR(INDEX(Clients!$B$5:$B$1000,MATCH($C681,Clients!$A$5:$A$1000,0)),"Unknown client ID"))</f>
        <v/>
      </c>
      <c r="E681" s="16"/>
      <c r="F681" s="16"/>
      <c r="G681" s="17"/>
      <c r="J681" s="12" t="str">
        <f>IF($A681="","",IF(COUNTIFS(Tasks!$B$5:$B$1000,$A681,Tasks!$A$5:$A$1000,"&lt;&gt;")=0,0,COUNTIFS(Tasks!$B$5:$B$1000,$A681,Tasks!$A$5:$A$1000,"&lt;&gt;",Tasks!$D$5:$D$1000,"Done")/COUNTIFS(Tasks!$B$5:$B$1000,$A681,Tasks!$A$5:$A$1000,"&lt;&gt;")))</f>
        <v/>
      </c>
      <c r="K681" s="11" t="str">
        <f>IF(OR($A681="",$F681=""),"",$F681-Overview!$B$3)</f>
        <v/>
      </c>
    </row>
    <row r="682" spans="4:11" x14ac:dyDescent="0.25">
      <c r="D682" s="18" t="str">
        <f>IF($C682="","",IFERROR(INDEX(Clients!$B$5:$B$1000,MATCH($C682,Clients!$A$5:$A$1000,0)),"Unknown client ID"))</f>
        <v/>
      </c>
      <c r="E682" s="16"/>
      <c r="F682" s="16"/>
      <c r="G682" s="17"/>
      <c r="J682" s="12" t="str">
        <f>IF($A682="","",IF(COUNTIFS(Tasks!$B$5:$B$1000,$A682,Tasks!$A$5:$A$1000,"&lt;&gt;")=0,0,COUNTIFS(Tasks!$B$5:$B$1000,$A682,Tasks!$A$5:$A$1000,"&lt;&gt;",Tasks!$D$5:$D$1000,"Done")/COUNTIFS(Tasks!$B$5:$B$1000,$A682,Tasks!$A$5:$A$1000,"&lt;&gt;")))</f>
        <v/>
      </c>
      <c r="K682" s="11" t="str">
        <f>IF(OR($A682="",$F682=""),"",$F682-Overview!$B$3)</f>
        <v/>
      </c>
    </row>
    <row r="683" spans="4:11" x14ac:dyDescent="0.25">
      <c r="D683" s="18" t="str">
        <f>IF($C683="","",IFERROR(INDEX(Clients!$B$5:$B$1000,MATCH($C683,Clients!$A$5:$A$1000,0)),"Unknown client ID"))</f>
        <v/>
      </c>
      <c r="E683" s="16"/>
      <c r="F683" s="16"/>
      <c r="G683" s="17"/>
      <c r="J683" s="12" t="str">
        <f>IF($A683="","",IF(COUNTIFS(Tasks!$B$5:$B$1000,$A683,Tasks!$A$5:$A$1000,"&lt;&gt;")=0,0,COUNTIFS(Tasks!$B$5:$B$1000,$A683,Tasks!$A$5:$A$1000,"&lt;&gt;",Tasks!$D$5:$D$1000,"Done")/COUNTIFS(Tasks!$B$5:$B$1000,$A683,Tasks!$A$5:$A$1000,"&lt;&gt;")))</f>
        <v/>
      </c>
      <c r="K683" s="11" t="str">
        <f>IF(OR($A683="",$F683=""),"",$F683-Overview!$B$3)</f>
        <v/>
      </c>
    </row>
    <row r="684" spans="4:11" x14ac:dyDescent="0.25">
      <c r="D684" s="18" t="str">
        <f>IF($C684="","",IFERROR(INDEX(Clients!$B$5:$B$1000,MATCH($C684,Clients!$A$5:$A$1000,0)),"Unknown client ID"))</f>
        <v/>
      </c>
      <c r="E684" s="16"/>
      <c r="F684" s="16"/>
      <c r="G684" s="17"/>
      <c r="J684" s="12" t="str">
        <f>IF($A684="","",IF(COUNTIFS(Tasks!$B$5:$B$1000,$A684,Tasks!$A$5:$A$1000,"&lt;&gt;")=0,0,COUNTIFS(Tasks!$B$5:$B$1000,$A684,Tasks!$A$5:$A$1000,"&lt;&gt;",Tasks!$D$5:$D$1000,"Done")/COUNTIFS(Tasks!$B$5:$B$1000,$A684,Tasks!$A$5:$A$1000,"&lt;&gt;")))</f>
        <v/>
      </c>
      <c r="K684" s="11" t="str">
        <f>IF(OR($A684="",$F684=""),"",$F684-Overview!$B$3)</f>
        <v/>
      </c>
    </row>
    <row r="685" spans="4:11" x14ac:dyDescent="0.25">
      <c r="D685" s="18" t="str">
        <f>IF($C685="","",IFERROR(INDEX(Clients!$B$5:$B$1000,MATCH($C685,Clients!$A$5:$A$1000,0)),"Unknown client ID"))</f>
        <v/>
      </c>
      <c r="E685" s="16"/>
      <c r="F685" s="16"/>
      <c r="G685" s="17"/>
      <c r="J685" s="12" t="str">
        <f>IF($A685="","",IF(COUNTIFS(Tasks!$B$5:$B$1000,$A685,Tasks!$A$5:$A$1000,"&lt;&gt;")=0,0,COUNTIFS(Tasks!$B$5:$B$1000,$A685,Tasks!$A$5:$A$1000,"&lt;&gt;",Tasks!$D$5:$D$1000,"Done")/COUNTIFS(Tasks!$B$5:$B$1000,$A685,Tasks!$A$5:$A$1000,"&lt;&gt;")))</f>
        <v/>
      </c>
      <c r="K685" s="11" t="str">
        <f>IF(OR($A685="",$F685=""),"",$F685-Overview!$B$3)</f>
        <v/>
      </c>
    </row>
    <row r="686" spans="4:11" x14ac:dyDescent="0.25">
      <c r="D686" s="18" t="str">
        <f>IF($C686="","",IFERROR(INDEX(Clients!$B$5:$B$1000,MATCH($C686,Clients!$A$5:$A$1000,0)),"Unknown client ID"))</f>
        <v/>
      </c>
      <c r="E686" s="16"/>
      <c r="F686" s="16"/>
      <c r="G686" s="17"/>
      <c r="J686" s="12" t="str">
        <f>IF($A686="","",IF(COUNTIFS(Tasks!$B$5:$B$1000,$A686,Tasks!$A$5:$A$1000,"&lt;&gt;")=0,0,COUNTIFS(Tasks!$B$5:$B$1000,$A686,Tasks!$A$5:$A$1000,"&lt;&gt;",Tasks!$D$5:$D$1000,"Done")/COUNTIFS(Tasks!$B$5:$B$1000,$A686,Tasks!$A$5:$A$1000,"&lt;&gt;")))</f>
        <v/>
      </c>
      <c r="K686" s="11" t="str">
        <f>IF(OR($A686="",$F686=""),"",$F686-Overview!$B$3)</f>
        <v/>
      </c>
    </row>
    <row r="687" spans="4:11" x14ac:dyDescent="0.25">
      <c r="D687" s="18" t="str">
        <f>IF($C687="","",IFERROR(INDEX(Clients!$B$5:$B$1000,MATCH($C687,Clients!$A$5:$A$1000,0)),"Unknown client ID"))</f>
        <v/>
      </c>
      <c r="E687" s="16"/>
      <c r="F687" s="16"/>
      <c r="G687" s="17"/>
      <c r="J687" s="12" t="str">
        <f>IF($A687="","",IF(COUNTIFS(Tasks!$B$5:$B$1000,$A687,Tasks!$A$5:$A$1000,"&lt;&gt;")=0,0,COUNTIFS(Tasks!$B$5:$B$1000,$A687,Tasks!$A$5:$A$1000,"&lt;&gt;",Tasks!$D$5:$D$1000,"Done")/COUNTIFS(Tasks!$B$5:$B$1000,$A687,Tasks!$A$5:$A$1000,"&lt;&gt;")))</f>
        <v/>
      </c>
      <c r="K687" s="11" t="str">
        <f>IF(OR($A687="",$F687=""),"",$F687-Overview!$B$3)</f>
        <v/>
      </c>
    </row>
    <row r="688" spans="4:11" x14ac:dyDescent="0.25">
      <c r="D688" s="18" t="str">
        <f>IF($C688="","",IFERROR(INDEX(Clients!$B$5:$B$1000,MATCH($C688,Clients!$A$5:$A$1000,0)),"Unknown client ID"))</f>
        <v/>
      </c>
      <c r="E688" s="16"/>
      <c r="F688" s="16"/>
      <c r="G688" s="17"/>
      <c r="J688" s="12" t="str">
        <f>IF($A688="","",IF(COUNTIFS(Tasks!$B$5:$B$1000,$A688,Tasks!$A$5:$A$1000,"&lt;&gt;")=0,0,COUNTIFS(Tasks!$B$5:$B$1000,$A688,Tasks!$A$5:$A$1000,"&lt;&gt;",Tasks!$D$5:$D$1000,"Done")/COUNTIFS(Tasks!$B$5:$B$1000,$A688,Tasks!$A$5:$A$1000,"&lt;&gt;")))</f>
        <v/>
      </c>
      <c r="K688" s="11" t="str">
        <f>IF(OR($A688="",$F688=""),"",$F688-Overview!$B$3)</f>
        <v/>
      </c>
    </row>
    <row r="689" spans="4:11" x14ac:dyDescent="0.25">
      <c r="D689" s="18" t="str">
        <f>IF($C689="","",IFERROR(INDEX(Clients!$B$5:$B$1000,MATCH($C689,Clients!$A$5:$A$1000,0)),"Unknown client ID"))</f>
        <v/>
      </c>
      <c r="E689" s="16"/>
      <c r="F689" s="16"/>
      <c r="G689" s="17"/>
      <c r="J689" s="12" t="str">
        <f>IF($A689="","",IF(COUNTIFS(Tasks!$B$5:$B$1000,$A689,Tasks!$A$5:$A$1000,"&lt;&gt;")=0,0,COUNTIFS(Tasks!$B$5:$B$1000,$A689,Tasks!$A$5:$A$1000,"&lt;&gt;",Tasks!$D$5:$D$1000,"Done")/COUNTIFS(Tasks!$B$5:$B$1000,$A689,Tasks!$A$5:$A$1000,"&lt;&gt;")))</f>
        <v/>
      </c>
      <c r="K689" s="11" t="str">
        <f>IF(OR($A689="",$F689=""),"",$F689-Overview!$B$3)</f>
        <v/>
      </c>
    </row>
    <row r="690" spans="4:11" x14ac:dyDescent="0.25">
      <c r="D690" s="18" t="str">
        <f>IF($C690="","",IFERROR(INDEX(Clients!$B$5:$B$1000,MATCH($C690,Clients!$A$5:$A$1000,0)),"Unknown client ID"))</f>
        <v/>
      </c>
      <c r="E690" s="16"/>
      <c r="F690" s="16"/>
      <c r="G690" s="17"/>
      <c r="J690" s="12" t="str">
        <f>IF($A690="","",IF(COUNTIFS(Tasks!$B$5:$B$1000,$A690,Tasks!$A$5:$A$1000,"&lt;&gt;")=0,0,COUNTIFS(Tasks!$B$5:$B$1000,$A690,Tasks!$A$5:$A$1000,"&lt;&gt;",Tasks!$D$5:$D$1000,"Done")/COUNTIFS(Tasks!$B$5:$B$1000,$A690,Tasks!$A$5:$A$1000,"&lt;&gt;")))</f>
        <v/>
      </c>
      <c r="K690" s="11" t="str">
        <f>IF(OR($A690="",$F690=""),"",$F690-Overview!$B$3)</f>
        <v/>
      </c>
    </row>
    <row r="691" spans="4:11" x14ac:dyDescent="0.25">
      <c r="D691" s="18" t="str">
        <f>IF($C691="","",IFERROR(INDEX(Clients!$B$5:$B$1000,MATCH($C691,Clients!$A$5:$A$1000,0)),"Unknown client ID"))</f>
        <v/>
      </c>
      <c r="E691" s="16"/>
      <c r="F691" s="16"/>
      <c r="G691" s="17"/>
      <c r="J691" s="12" t="str">
        <f>IF($A691="","",IF(COUNTIFS(Tasks!$B$5:$B$1000,$A691,Tasks!$A$5:$A$1000,"&lt;&gt;")=0,0,COUNTIFS(Tasks!$B$5:$B$1000,$A691,Tasks!$A$5:$A$1000,"&lt;&gt;",Tasks!$D$5:$D$1000,"Done")/COUNTIFS(Tasks!$B$5:$B$1000,$A691,Tasks!$A$5:$A$1000,"&lt;&gt;")))</f>
        <v/>
      </c>
      <c r="K691" s="11" t="str">
        <f>IF(OR($A691="",$F691=""),"",$F691-Overview!$B$3)</f>
        <v/>
      </c>
    </row>
    <row r="692" spans="4:11" x14ac:dyDescent="0.25">
      <c r="D692" s="18" t="str">
        <f>IF($C692="","",IFERROR(INDEX(Clients!$B$5:$B$1000,MATCH($C692,Clients!$A$5:$A$1000,0)),"Unknown client ID"))</f>
        <v/>
      </c>
      <c r="E692" s="16"/>
      <c r="F692" s="16"/>
      <c r="G692" s="17"/>
      <c r="J692" s="12" t="str">
        <f>IF($A692="","",IF(COUNTIFS(Tasks!$B$5:$B$1000,$A692,Tasks!$A$5:$A$1000,"&lt;&gt;")=0,0,COUNTIFS(Tasks!$B$5:$B$1000,$A692,Tasks!$A$5:$A$1000,"&lt;&gt;",Tasks!$D$5:$D$1000,"Done")/COUNTIFS(Tasks!$B$5:$B$1000,$A692,Tasks!$A$5:$A$1000,"&lt;&gt;")))</f>
        <v/>
      </c>
      <c r="K692" s="11" t="str">
        <f>IF(OR($A692="",$F692=""),"",$F692-Overview!$B$3)</f>
        <v/>
      </c>
    </row>
    <row r="693" spans="4:11" x14ac:dyDescent="0.25">
      <c r="D693" s="18" t="str">
        <f>IF($C693="","",IFERROR(INDEX(Clients!$B$5:$B$1000,MATCH($C693,Clients!$A$5:$A$1000,0)),"Unknown client ID"))</f>
        <v/>
      </c>
      <c r="E693" s="16"/>
      <c r="F693" s="16"/>
      <c r="G693" s="17"/>
      <c r="J693" s="12" t="str">
        <f>IF($A693="","",IF(COUNTIFS(Tasks!$B$5:$B$1000,$A693,Tasks!$A$5:$A$1000,"&lt;&gt;")=0,0,COUNTIFS(Tasks!$B$5:$B$1000,$A693,Tasks!$A$5:$A$1000,"&lt;&gt;",Tasks!$D$5:$D$1000,"Done")/COUNTIFS(Tasks!$B$5:$B$1000,$A693,Tasks!$A$5:$A$1000,"&lt;&gt;")))</f>
        <v/>
      </c>
      <c r="K693" s="11" t="str">
        <f>IF(OR($A693="",$F693=""),"",$F693-Overview!$B$3)</f>
        <v/>
      </c>
    </row>
    <row r="694" spans="4:11" x14ac:dyDescent="0.25">
      <c r="D694" s="18" t="str">
        <f>IF($C694="","",IFERROR(INDEX(Clients!$B$5:$B$1000,MATCH($C694,Clients!$A$5:$A$1000,0)),"Unknown client ID"))</f>
        <v/>
      </c>
      <c r="E694" s="16"/>
      <c r="F694" s="16"/>
      <c r="G694" s="17"/>
      <c r="J694" s="12" t="str">
        <f>IF($A694="","",IF(COUNTIFS(Tasks!$B$5:$B$1000,$A694,Tasks!$A$5:$A$1000,"&lt;&gt;")=0,0,COUNTIFS(Tasks!$B$5:$B$1000,$A694,Tasks!$A$5:$A$1000,"&lt;&gt;",Tasks!$D$5:$D$1000,"Done")/COUNTIFS(Tasks!$B$5:$B$1000,$A694,Tasks!$A$5:$A$1000,"&lt;&gt;")))</f>
        <v/>
      </c>
      <c r="K694" s="11" t="str">
        <f>IF(OR($A694="",$F694=""),"",$F694-Overview!$B$3)</f>
        <v/>
      </c>
    </row>
    <row r="695" spans="4:11" x14ac:dyDescent="0.25">
      <c r="D695" s="18" t="str">
        <f>IF($C695="","",IFERROR(INDEX(Clients!$B$5:$B$1000,MATCH($C695,Clients!$A$5:$A$1000,0)),"Unknown client ID"))</f>
        <v/>
      </c>
      <c r="E695" s="16"/>
      <c r="F695" s="16"/>
      <c r="G695" s="17"/>
      <c r="J695" s="12" t="str">
        <f>IF($A695="","",IF(COUNTIFS(Tasks!$B$5:$B$1000,$A695,Tasks!$A$5:$A$1000,"&lt;&gt;")=0,0,COUNTIFS(Tasks!$B$5:$B$1000,$A695,Tasks!$A$5:$A$1000,"&lt;&gt;",Tasks!$D$5:$D$1000,"Done")/COUNTIFS(Tasks!$B$5:$B$1000,$A695,Tasks!$A$5:$A$1000,"&lt;&gt;")))</f>
        <v/>
      </c>
      <c r="K695" s="11" t="str">
        <f>IF(OR($A695="",$F695=""),"",$F695-Overview!$B$3)</f>
        <v/>
      </c>
    </row>
    <row r="696" spans="4:11" x14ac:dyDescent="0.25">
      <c r="D696" s="18" t="str">
        <f>IF($C696="","",IFERROR(INDEX(Clients!$B$5:$B$1000,MATCH($C696,Clients!$A$5:$A$1000,0)),"Unknown client ID"))</f>
        <v/>
      </c>
      <c r="E696" s="16"/>
      <c r="F696" s="16"/>
      <c r="G696" s="17"/>
      <c r="J696" s="12" t="str">
        <f>IF($A696="","",IF(COUNTIFS(Tasks!$B$5:$B$1000,$A696,Tasks!$A$5:$A$1000,"&lt;&gt;")=0,0,COUNTIFS(Tasks!$B$5:$B$1000,$A696,Tasks!$A$5:$A$1000,"&lt;&gt;",Tasks!$D$5:$D$1000,"Done")/COUNTIFS(Tasks!$B$5:$B$1000,$A696,Tasks!$A$5:$A$1000,"&lt;&gt;")))</f>
        <v/>
      </c>
      <c r="K696" s="11" t="str">
        <f>IF(OR($A696="",$F696=""),"",$F696-Overview!$B$3)</f>
        <v/>
      </c>
    </row>
    <row r="697" spans="4:11" x14ac:dyDescent="0.25">
      <c r="D697" s="18" t="str">
        <f>IF($C697="","",IFERROR(INDEX(Clients!$B$5:$B$1000,MATCH($C697,Clients!$A$5:$A$1000,0)),"Unknown client ID"))</f>
        <v/>
      </c>
      <c r="E697" s="16"/>
      <c r="F697" s="16"/>
      <c r="G697" s="17"/>
      <c r="J697" s="12" t="str">
        <f>IF($A697="","",IF(COUNTIFS(Tasks!$B$5:$B$1000,$A697,Tasks!$A$5:$A$1000,"&lt;&gt;")=0,0,COUNTIFS(Tasks!$B$5:$B$1000,$A697,Tasks!$A$5:$A$1000,"&lt;&gt;",Tasks!$D$5:$D$1000,"Done")/COUNTIFS(Tasks!$B$5:$B$1000,$A697,Tasks!$A$5:$A$1000,"&lt;&gt;")))</f>
        <v/>
      </c>
      <c r="K697" s="11" t="str">
        <f>IF(OR($A697="",$F697=""),"",$F697-Overview!$B$3)</f>
        <v/>
      </c>
    </row>
    <row r="698" spans="4:11" x14ac:dyDescent="0.25">
      <c r="D698" s="18" t="str">
        <f>IF($C698="","",IFERROR(INDEX(Clients!$B$5:$B$1000,MATCH($C698,Clients!$A$5:$A$1000,0)),"Unknown client ID"))</f>
        <v/>
      </c>
      <c r="E698" s="16"/>
      <c r="F698" s="16"/>
      <c r="G698" s="17"/>
      <c r="J698" s="12" t="str">
        <f>IF($A698="","",IF(COUNTIFS(Tasks!$B$5:$B$1000,$A698,Tasks!$A$5:$A$1000,"&lt;&gt;")=0,0,COUNTIFS(Tasks!$B$5:$B$1000,$A698,Tasks!$A$5:$A$1000,"&lt;&gt;",Tasks!$D$5:$D$1000,"Done")/COUNTIFS(Tasks!$B$5:$B$1000,$A698,Tasks!$A$5:$A$1000,"&lt;&gt;")))</f>
        <v/>
      </c>
      <c r="K698" s="11" t="str">
        <f>IF(OR($A698="",$F698=""),"",$F698-Overview!$B$3)</f>
        <v/>
      </c>
    </row>
    <row r="699" spans="4:11" x14ac:dyDescent="0.25">
      <c r="D699" s="18" t="str">
        <f>IF($C699="","",IFERROR(INDEX(Clients!$B$5:$B$1000,MATCH($C699,Clients!$A$5:$A$1000,0)),"Unknown client ID"))</f>
        <v/>
      </c>
      <c r="E699" s="16"/>
      <c r="F699" s="16"/>
      <c r="G699" s="17"/>
      <c r="J699" s="12" t="str">
        <f>IF($A699="","",IF(COUNTIFS(Tasks!$B$5:$B$1000,$A699,Tasks!$A$5:$A$1000,"&lt;&gt;")=0,0,COUNTIFS(Tasks!$B$5:$B$1000,$A699,Tasks!$A$5:$A$1000,"&lt;&gt;",Tasks!$D$5:$D$1000,"Done")/COUNTIFS(Tasks!$B$5:$B$1000,$A699,Tasks!$A$5:$A$1000,"&lt;&gt;")))</f>
        <v/>
      </c>
      <c r="K699" s="11" t="str">
        <f>IF(OR($A699="",$F699=""),"",$F699-Overview!$B$3)</f>
        <v/>
      </c>
    </row>
    <row r="700" spans="4:11" x14ac:dyDescent="0.25">
      <c r="D700" s="18" t="str">
        <f>IF($C700="","",IFERROR(INDEX(Clients!$B$5:$B$1000,MATCH($C700,Clients!$A$5:$A$1000,0)),"Unknown client ID"))</f>
        <v/>
      </c>
      <c r="E700" s="16"/>
      <c r="F700" s="16"/>
      <c r="G700" s="17"/>
      <c r="J700" s="12" t="str">
        <f>IF($A700="","",IF(COUNTIFS(Tasks!$B$5:$B$1000,$A700,Tasks!$A$5:$A$1000,"&lt;&gt;")=0,0,COUNTIFS(Tasks!$B$5:$B$1000,$A700,Tasks!$A$5:$A$1000,"&lt;&gt;",Tasks!$D$5:$D$1000,"Done")/COUNTIFS(Tasks!$B$5:$B$1000,$A700,Tasks!$A$5:$A$1000,"&lt;&gt;")))</f>
        <v/>
      </c>
      <c r="K700" s="11" t="str">
        <f>IF(OR($A700="",$F700=""),"",$F700-Overview!$B$3)</f>
        <v/>
      </c>
    </row>
    <row r="701" spans="4:11" x14ac:dyDescent="0.25">
      <c r="D701" s="18" t="str">
        <f>IF($C701="","",IFERROR(INDEX(Clients!$B$5:$B$1000,MATCH($C701,Clients!$A$5:$A$1000,0)),"Unknown client ID"))</f>
        <v/>
      </c>
      <c r="E701" s="16"/>
      <c r="F701" s="16"/>
      <c r="G701" s="17"/>
      <c r="J701" s="12" t="str">
        <f>IF($A701="","",IF(COUNTIFS(Tasks!$B$5:$B$1000,$A701,Tasks!$A$5:$A$1000,"&lt;&gt;")=0,0,COUNTIFS(Tasks!$B$5:$B$1000,$A701,Tasks!$A$5:$A$1000,"&lt;&gt;",Tasks!$D$5:$D$1000,"Done")/COUNTIFS(Tasks!$B$5:$B$1000,$A701,Tasks!$A$5:$A$1000,"&lt;&gt;")))</f>
        <v/>
      </c>
      <c r="K701" s="11" t="str">
        <f>IF(OR($A701="",$F701=""),"",$F701-Overview!$B$3)</f>
        <v/>
      </c>
    </row>
    <row r="702" spans="4:11" x14ac:dyDescent="0.25">
      <c r="D702" s="18" t="str">
        <f>IF($C702="","",IFERROR(INDEX(Clients!$B$5:$B$1000,MATCH($C702,Clients!$A$5:$A$1000,0)),"Unknown client ID"))</f>
        <v/>
      </c>
      <c r="E702" s="16"/>
      <c r="F702" s="16"/>
      <c r="G702" s="17"/>
      <c r="J702" s="12" t="str">
        <f>IF($A702="","",IF(COUNTIFS(Tasks!$B$5:$B$1000,$A702,Tasks!$A$5:$A$1000,"&lt;&gt;")=0,0,COUNTIFS(Tasks!$B$5:$B$1000,$A702,Tasks!$A$5:$A$1000,"&lt;&gt;",Tasks!$D$5:$D$1000,"Done")/COUNTIFS(Tasks!$B$5:$B$1000,$A702,Tasks!$A$5:$A$1000,"&lt;&gt;")))</f>
        <v/>
      </c>
      <c r="K702" s="11" t="str">
        <f>IF(OR($A702="",$F702=""),"",$F702-Overview!$B$3)</f>
        <v/>
      </c>
    </row>
    <row r="703" spans="4:11" x14ac:dyDescent="0.25">
      <c r="D703" s="18" t="str">
        <f>IF($C703="","",IFERROR(INDEX(Clients!$B$5:$B$1000,MATCH($C703,Clients!$A$5:$A$1000,0)),"Unknown client ID"))</f>
        <v/>
      </c>
      <c r="E703" s="16"/>
      <c r="F703" s="16"/>
      <c r="G703" s="17"/>
      <c r="J703" s="12" t="str">
        <f>IF($A703="","",IF(COUNTIFS(Tasks!$B$5:$B$1000,$A703,Tasks!$A$5:$A$1000,"&lt;&gt;")=0,0,COUNTIFS(Tasks!$B$5:$B$1000,$A703,Tasks!$A$5:$A$1000,"&lt;&gt;",Tasks!$D$5:$D$1000,"Done")/COUNTIFS(Tasks!$B$5:$B$1000,$A703,Tasks!$A$5:$A$1000,"&lt;&gt;")))</f>
        <v/>
      </c>
      <c r="K703" s="11" t="str">
        <f>IF(OR($A703="",$F703=""),"",$F703-Overview!$B$3)</f>
        <v/>
      </c>
    </row>
    <row r="704" spans="4:11" x14ac:dyDescent="0.25">
      <c r="D704" s="18" t="str">
        <f>IF($C704="","",IFERROR(INDEX(Clients!$B$5:$B$1000,MATCH($C704,Clients!$A$5:$A$1000,0)),"Unknown client ID"))</f>
        <v/>
      </c>
      <c r="E704" s="16"/>
      <c r="F704" s="16"/>
      <c r="G704" s="17"/>
      <c r="J704" s="12" t="str">
        <f>IF($A704="","",IF(COUNTIFS(Tasks!$B$5:$B$1000,$A704,Tasks!$A$5:$A$1000,"&lt;&gt;")=0,0,COUNTIFS(Tasks!$B$5:$B$1000,$A704,Tasks!$A$5:$A$1000,"&lt;&gt;",Tasks!$D$5:$D$1000,"Done")/COUNTIFS(Tasks!$B$5:$B$1000,$A704,Tasks!$A$5:$A$1000,"&lt;&gt;")))</f>
        <v/>
      </c>
      <c r="K704" s="11" t="str">
        <f>IF(OR($A704="",$F704=""),"",$F704-Overview!$B$3)</f>
        <v/>
      </c>
    </row>
    <row r="705" spans="4:11" x14ac:dyDescent="0.25">
      <c r="D705" s="18" t="str">
        <f>IF($C705="","",IFERROR(INDEX(Clients!$B$5:$B$1000,MATCH($C705,Clients!$A$5:$A$1000,0)),"Unknown client ID"))</f>
        <v/>
      </c>
      <c r="E705" s="16"/>
      <c r="F705" s="16"/>
      <c r="G705" s="17"/>
      <c r="J705" s="12" t="str">
        <f>IF($A705="","",IF(COUNTIFS(Tasks!$B$5:$B$1000,$A705,Tasks!$A$5:$A$1000,"&lt;&gt;")=0,0,COUNTIFS(Tasks!$B$5:$B$1000,$A705,Tasks!$A$5:$A$1000,"&lt;&gt;",Tasks!$D$5:$D$1000,"Done")/COUNTIFS(Tasks!$B$5:$B$1000,$A705,Tasks!$A$5:$A$1000,"&lt;&gt;")))</f>
        <v/>
      </c>
      <c r="K705" s="11" t="str">
        <f>IF(OR($A705="",$F705=""),"",$F705-Overview!$B$3)</f>
        <v/>
      </c>
    </row>
    <row r="706" spans="4:11" x14ac:dyDescent="0.25">
      <c r="D706" s="18" t="str">
        <f>IF($C706="","",IFERROR(INDEX(Clients!$B$5:$B$1000,MATCH($C706,Clients!$A$5:$A$1000,0)),"Unknown client ID"))</f>
        <v/>
      </c>
      <c r="E706" s="16"/>
      <c r="F706" s="16"/>
      <c r="G706" s="17"/>
      <c r="J706" s="12" t="str">
        <f>IF($A706="","",IF(COUNTIFS(Tasks!$B$5:$B$1000,$A706,Tasks!$A$5:$A$1000,"&lt;&gt;")=0,0,COUNTIFS(Tasks!$B$5:$B$1000,$A706,Tasks!$A$5:$A$1000,"&lt;&gt;",Tasks!$D$5:$D$1000,"Done")/COUNTIFS(Tasks!$B$5:$B$1000,$A706,Tasks!$A$5:$A$1000,"&lt;&gt;")))</f>
        <v/>
      </c>
      <c r="K706" s="11" t="str">
        <f>IF(OR($A706="",$F706=""),"",$F706-Overview!$B$3)</f>
        <v/>
      </c>
    </row>
    <row r="707" spans="4:11" x14ac:dyDescent="0.25">
      <c r="D707" s="18" t="str">
        <f>IF($C707="","",IFERROR(INDEX(Clients!$B$5:$B$1000,MATCH($C707,Clients!$A$5:$A$1000,0)),"Unknown client ID"))</f>
        <v/>
      </c>
      <c r="E707" s="16"/>
      <c r="F707" s="16"/>
      <c r="G707" s="17"/>
      <c r="J707" s="12" t="str">
        <f>IF($A707="","",IF(COUNTIFS(Tasks!$B$5:$B$1000,$A707,Tasks!$A$5:$A$1000,"&lt;&gt;")=0,0,COUNTIFS(Tasks!$B$5:$B$1000,$A707,Tasks!$A$5:$A$1000,"&lt;&gt;",Tasks!$D$5:$D$1000,"Done")/COUNTIFS(Tasks!$B$5:$B$1000,$A707,Tasks!$A$5:$A$1000,"&lt;&gt;")))</f>
        <v/>
      </c>
      <c r="K707" s="11" t="str">
        <f>IF(OR($A707="",$F707=""),"",$F707-Overview!$B$3)</f>
        <v/>
      </c>
    </row>
    <row r="708" spans="4:11" x14ac:dyDescent="0.25">
      <c r="D708" s="18" t="str">
        <f>IF($C708="","",IFERROR(INDEX(Clients!$B$5:$B$1000,MATCH($C708,Clients!$A$5:$A$1000,0)),"Unknown client ID"))</f>
        <v/>
      </c>
      <c r="E708" s="16"/>
      <c r="F708" s="16"/>
      <c r="G708" s="17"/>
      <c r="J708" s="12" t="str">
        <f>IF($A708="","",IF(COUNTIFS(Tasks!$B$5:$B$1000,$A708,Tasks!$A$5:$A$1000,"&lt;&gt;")=0,0,COUNTIFS(Tasks!$B$5:$B$1000,$A708,Tasks!$A$5:$A$1000,"&lt;&gt;",Tasks!$D$5:$D$1000,"Done")/COUNTIFS(Tasks!$B$5:$B$1000,$A708,Tasks!$A$5:$A$1000,"&lt;&gt;")))</f>
        <v/>
      </c>
      <c r="K708" s="11" t="str">
        <f>IF(OR($A708="",$F708=""),"",$F708-Overview!$B$3)</f>
        <v/>
      </c>
    </row>
    <row r="709" spans="4:11" x14ac:dyDescent="0.25">
      <c r="D709" s="18" t="str">
        <f>IF($C709="","",IFERROR(INDEX(Clients!$B$5:$B$1000,MATCH($C709,Clients!$A$5:$A$1000,0)),"Unknown client ID"))</f>
        <v/>
      </c>
      <c r="E709" s="16"/>
      <c r="F709" s="16"/>
      <c r="G709" s="17"/>
      <c r="J709" s="12" t="str">
        <f>IF($A709="","",IF(COUNTIFS(Tasks!$B$5:$B$1000,$A709,Tasks!$A$5:$A$1000,"&lt;&gt;")=0,0,COUNTIFS(Tasks!$B$5:$B$1000,$A709,Tasks!$A$5:$A$1000,"&lt;&gt;",Tasks!$D$5:$D$1000,"Done")/COUNTIFS(Tasks!$B$5:$B$1000,$A709,Tasks!$A$5:$A$1000,"&lt;&gt;")))</f>
        <v/>
      </c>
      <c r="K709" s="11" t="str">
        <f>IF(OR($A709="",$F709=""),"",$F709-Overview!$B$3)</f>
        <v/>
      </c>
    </row>
    <row r="710" spans="4:11" x14ac:dyDescent="0.25">
      <c r="D710" s="18" t="str">
        <f>IF($C710="","",IFERROR(INDEX(Clients!$B$5:$B$1000,MATCH($C710,Clients!$A$5:$A$1000,0)),"Unknown client ID"))</f>
        <v/>
      </c>
      <c r="E710" s="16"/>
      <c r="F710" s="16"/>
      <c r="G710" s="17"/>
      <c r="J710" s="12" t="str">
        <f>IF($A710="","",IF(COUNTIFS(Tasks!$B$5:$B$1000,$A710,Tasks!$A$5:$A$1000,"&lt;&gt;")=0,0,COUNTIFS(Tasks!$B$5:$B$1000,$A710,Tasks!$A$5:$A$1000,"&lt;&gt;",Tasks!$D$5:$D$1000,"Done")/COUNTIFS(Tasks!$B$5:$B$1000,$A710,Tasks!$A$5:$A$1000,"&lt;&gt;")))</f>
        <v/>
      </c>
      <c r="K710" s="11" t="str">
        <f>IF(OR($A710="",$F710=""),"",$F710-Overview!$B$3)</f>
        <v/>
      </c>
    </row>
    <row r="711" spans="4:11" x14ac:dyDescent="0.25">
      <c r="D711" s="18" t="str">
        <f>IF($C711="","",IFERROR(INDEX(Clients!$B$5:$B$1000,MATCH($C711,Clients!$A$5:$A$1000,0)),"Unknown client ID"))</f>
        <v/>
      </c>
      <c r="E711" s="16"/>
      <c r="F711" s="16"/>
      <c r="G711" s="17"/>
      <c r="J711" s="12" t="str">
        <f>IF($A711="","",IF(COUNTIFS(Tasks!$B$5:$B$1000,$A711,Tasks!$A$5:$A$1000,"&lt;&gt;")=0,0,COUNTIFS(Tasks!$B$5:$B$1000,$A711,Tasks!$A$5:$A$1000,"&lt;&gt;",Tasks!$D$5:$D$1000,"Done")/COUNTIFS(Tasks!$B$5:$B$1000,$A711,Tasks!$A$5:$A$1000,"&lt;&gt;")))</f>
        <v/>
      </c>
      <c r="K711" s="11" t="str">
        <f>IF(OR($A711="",$F711=""),"",$F711-Overview!$B$3)</f>
        <v/>
      </c>
    </row>
    <row r="712" spans="4:11" x14ac:dyDescent="0.25">
      <c r="D712" s="18" t="str">
        <f>IF($C712="","",IFERROR(INDEX(Clients!$B$5:$B$1000,MATCH($C712,Clients!$A$5:$A$1000,0)),"Unknown client ID"))</f>
        <v/>
      </c>
      <c r="E712" s="16"/>
      <c r="F712" s="16"/>
      <c r="G712" s="17"/>
      <c r="J712" s="12" t="str">
        <f>IF($A712="","",IF(COUNTIFS(Tasks!$B$5:$B$1000,$A712,Tasks!$A$5:$A$1000,"&lt;&gt;")=0,0,COUNTIFS(Tasks!$B$5:$B$1000,$A712,Tasks!$A$5:$A$1000,"&lt;&gt;",Tasks!$D$5:$D$1000,"Done")/COUNTIFS(Tasks!$B$5:$B$1000,$A712,Tasks!$A$5:$A$1000,"&lt;&gt;")))</f>
        <v/>
      </c>
      <c r="K712" s="11" t="str">
        <f>IF(OR($A712="",$F712=""),"",$F712-Overview!$B$3)</f>
        <v/>
      </c>
    </row>
    <row r="713" spans="4:11" x14ac:dyDescent="0.25">
      <c r="D713" s="18" t="str">
        <f>IF($C713="","",IFERROR(INDEX(Clients!$B$5:$B$1000,MATCH($C713,Clients!$A$5:$A$1000,0)),"Unknown client ID"))</f>
        <v/>
      </c>
      <c r="E713" s="16"/>
      <c r="F713" s="16"/>
      <c r="G713" s="17"/>
      <c r="J713" s="12" t="str">
        <f>IF($A713="","",IF(COUNTIFS(Tasks!$B$5:$B$1000,$A713,Tasks!$A$5:$A$1000,"&lt;&gt;")=0,0,COUNTIFS(Tasks!$B$5:$B$1000,$A713,Tasks!$A$5:$A$1000,"&lt;&gt;",Tasks!$D$5:$D$1000,"Done")/COUNTIFS(Tasks!$B$5:$B$1000,$A713,Tasks!$A$5:$A$1000,"&lt;&gt;")))</f>
        <v/>
      </c>
      <c r="K713" s="11" t="str">
        <f>IF(OR($A713="",$F713=""),"",$F713-Overview!$B$3)</f>
        <v/>
      </c>
    </row>
    <row r="714" spans="4:11" x14ac:dyDescent="0.25">
      <c r="D714" s="18" t="str">
        <f>IF($C714="","",IFERROR(INDEX(Clients!$B$5:$B$1000,MATCH($C714,Clients!$A$5:$A$1000,0)),"Unknown client ID"))</f>
        <v/>
      </c>
      <c r="E714" s="16"/>
      <c r="F714" s="16"/>
      <c r="G714" s="17"/>
      <c r="J714" s="12" t="str">
        <f>IF($A714="","",IF(COUNTIFS(Tasks!$B$5:$B$1000,$A714,Tasks!$A$5:$A$1000,"&lt;&gt;")=0,0,COUNTIFS(Tasks!$B$5:$B$1000,$A714,Tasks!$A$5:$A$1000,"&lt;&gt;",Tasks!$D$5:$D$1000,"Done")/COUNTIFS(Tasks!$B$5:$B$1000,$A714,Tasks!$A$5:$A$1000,"&lt;&gt;")))</f>
        <v/>
      </c>
      <c r="K714" s="11" t="str">
        <f>IF(OR($A714="",$F714=""),"",$F714-Overview!$B$3)</f>
        <v/>
      </c>
    </row>
    <row r="715" spans="4:11" x14ac:dyDescent="0.25">
      <c r="D715" s="18" t="str">
        <f>IF($C715="","",IFERROR(INDEX(Clients!$B$5:$B$1000,MATCH($C715,Clients!$A$5:$A$1000,0)),"Unknown client ID"))</f>
        <v/>
      </c>
      <c r="E715" s="16"/>
      <c r="F715" s="16"/>
      <c r="G715" s="17"/>
      <c r="J715" s="12" t="str">
        <f>IF($A715="","",IF(COUNTIFS(Tasks!$B$5:$B$1000,$A715,Tasks!$A$5:$A$1000,"&lt;&gt;")=0,0,COUNTIFS(Tasks!$B$5:$B$1000,$A715,Tasks!$A$5:$A$1000,"&lt;&gt;",Tasks!$D$5:$D$1000,"Done")/COUNTIFS(Tasks!$B$5:$B$1000,$A715,Tasks!$A$5:$A$1000,"&lt;&gt;")))</f>
        <v/>
      </c>
      <c r="K715" s="11" t="str">
        <f>IF(OR($A715="",$F715=""),"",$F715-Overview!$B$3)</f>
        <v/>
      </c>
    </row>
    <row r="716" spans="4:11" x14ac:dyDescent="0.25">
      <c r="D716" s="18" t="str">
        <f>IF($C716="","",IFERROR(INDEX(Clients!$B$5:$B$1000,MATCH($C716,Clients!$A$5:$A$1000,0)),"Unknown client ID"))</f>
        <v/>
      </c>
      <c r="E716" s="16"/>
      <c r="F716" s="16"/>
      <c r="G716" s="17"/>
      <c r="J716" s="12" t="str">
        <f>IF($A716="","",IF(COUNTIFS(Tasks!$B$5:$B$1000,$A716,Tasks!$A$5:$A$1000,"&lt;&gt;")=0,0,COUNTIFS(Tasks!$B$5:$B$1000,$A716,Tasks!$A$5:$A$1000,"&lt;&gt;",Tasks!$D$5:$D$1000,"Done")/COUNTIFS(Tasks!$B$5:$B$1000,$A716,Tasks!$A$5:$A$1000,"&lt;&gt;")))</f>
        <v/>
      </c>
      <c r="K716" s="11" t="str">
        <f>IF(OR($A716="",$F716=""),"",$F716-Overview!$B$3)</f>
        <v/>
      </c>
    </row>
    <row r="717" spans="4:11" x14ac:dyDescent="0.25">
      <c r="D717" s="18" t="str">
        <f>IF($C717="","",IFERROR(INDEX(Clients!$B$5:$B$1000,MATCH($C717,Clients!$A$5:$A$1000,0)),"Unknown client ID"))</f>
        <v/>
      </c>
      <c r="E717" s="16"/>
      <c r="F717" s="16"/>
      <c r="G717" s="17"/>
      <c r="J717" s="12" t="str">
        <f>IF($A717="","",IF(COUNTIFS(Tasks!$B$5:$B$1000,$A717,Tasks!$A$5:$A$1000,"&lt;&gt;")=0,0,COUNTIFS(Tasks!$B$5:$B$1000,$A717,Tasks!$A$5:$A$1000,"&lt;&gt;",Tasks!$D$5:$D$1000,"Done")/COUNTIFS(Tasks!$B$5:$B$1000,$A717,Tasks!$A$5:$A$1000,"&lt;&gt;")))</f>
        <v/>
      </c>
      <c r="K717" s="11" t="str">
        <f>IF(OR($A717="",$F717=""),"",$F717-Overview!$B$3)</f>
        <v/>
      </c>
    </row>
    <row r="718" spans="4:11" x14ac:dyDescent="0.25">
      <c r="D718" s="18" t="str">
        <f>IF($C718="","",IFERROR(INDEX(Clients!$B$5:$B$1000,MATCH($C718,Clients!$A$5:$A$1000,0)),"Unknown client ID"))</f>
        <v/>
      </c>
      <c r="E718" s="16"/>
      <c r="F718" s="16"/>
      <c r="G718" s="17"/>
      <c r="J718" s="12" t="str">
        <f>IF($A718="","",IF(COUNTIFS(Tasks!$B$5:$B$1000,$A718,Tasks!$A$5:$A$1000,"&lt;&gt;")=0,0,COUNTIFS(Tasks!$B$5:$B$1000,$A718,Tasks!$A$5:$A$1000,"&lt;&gt;",Tasks!$D$5:$D$1000,"Done")/COUNTIFS(Tasks!$B$5:$B$1000,$A718,Tasks!$A$5:$A$1000,"&lt;&gt;")))</f>
        <v/>
      </c>
      <c r="K718" s="11" t="str">
        <f>IF(OR($A718="",$F718=""),"",$F718-Overview!$B$3)</f>
        <v/>
      </c>
    </row>
    <row r="719" spans="4:11" x14ac:dyDescent="0.25">
      <c r="D719" s="18" t="str">
        <f>IF($C719="","",IFERROR(INDEX(Clients!$B$5:$B$1000,MATCH($C719,Clients!$A$5:$A$1000,0)),"Unknown client ID"))</f>
        <v/>
      </c>
      <c r="E719" s="16"/>
      <c r="F719" s="16"/>
      <c r="G719" s="17"/>
      <c r="J719" s="12" t="str">
        <f>IF($A719="","",IF(COUNTIFS(Tasks!$B$5:$B$1000,$A719,Tasks!$A$5:$A$1000,"&lt;&gt;")=0,0,COUNTIFS(Tasks!$B$5:$B$1000,$A719,Tasks!$A$5:$A$1000,"&lt;&gt;",Tasks!$D$5:$D$1000,"Done")/COUNTIFS(Tasks!$B$5:$B$1000,$A719,Tasks!$A$5:$A$1000,"&lt;&gt;")))</f>
        <v/>
      </c>
      <c r="K719" s="11" t="str">
        <f>IF(OR($A719="",$F719=""),"",$F719-Overview!$B$3)</f>
        <v/>
      </c>
    </row>
    <row r="720" spans="4:11" x14ac:dyDescent="0.25">
      <c r="D720" s="18" t="str">
        <f>IF($C720="","",IFERROR(INDEX(Clients!$B$5:$B$1000,MATCH($C720,Clients!$A$5:$A$1000,0)),"Unknown client ID"))</f>
        <v/>
      </c>
      <c r="E720" s="16"/>
      <c r="F720" s="16"/>
      <c r="G720" s="17"/>
      <c r="J720" s="12" t="str">
        <f>IF($A720="","",IF(COUNTIFS(Tasks!$B$5:$B$1000,$A720,Tasks!$A$5:$A$1000,"&lt;&gt;")=0,0,COUNTIFS(Tasks!$B$5:$B$1000,$A720,Tasks!$A$5:$A$1000,"&lt;&gt;",Tasks!$D$5:$D$1000,"Done")/COUNTIFS(Tasks!$B$5:$B$1000,$A720,Tasks!$A$5:$A$1000,"&lt;&gt;")))</f>
        <v/>
      </c>
      <c r="K720" s="11" t="str">
        <f>IF(OR($A720="",$F720=""),"",$F720-Overview!$B$3)</f>
        <v/>
      </c>
    </row>
    <row r="721" spans="4:11" x14ac:dyDescent="0.25">
      <c r="D721" s="18" t="str">
        <f>IF($C721="","",IFERROR(INDEX(Clients!$B$5:$B$1000,MATCH($C721,Clients!$A$5:$A$1000,0)),"Unknown client ID"))</f>
        <v/>
      </c>
      <c r="E721" s="16"/>
      <c r="F721" s="16"/>
      <c r="G721" s="17"/>
      <c r="J721" s="12" t="str">
        <f>IF($A721="","",IF(COUNTIFS(Tasks!$B$5:$B$1000,$A721,Tasks!$A$5:$A$1000,"&lt;&gt;")=0,0,COUNTIFS(Tasks!$B$5:$B$1000,$A721,Tasks!$A$5:$A$1000,"&lt;&gt;",Tasks!$D$5:$D$1000,"Done")/COUNTIFS(Tasks!$B$5:$B$1000,$A721,Tasks!$A$5:$A$1000,"&lt;&gt;")))</f>
        <v/>
      </c>
      <c r="K721" s="11" t="str">
        <f>IF(OR($A721="",$F721=""),"",$F721-Overview!$B$3)</f>
        <v/>
      </c>
    </row>
    <row r="722" spans="4:11" x14ac:dyDescent="0.25">
      <c r="D722" s="18" t="str">
        <f>IF($C722="","",IFERROR(INDEX(Clients!$B$5:$B$1000,MATCH($C722,Clients!$A$5:$A$1000,0)),"Unknown client ID"))</f>
        <v/>
      </c>
      <c r="E722" s="16"/>
      <c r="F722" s="16"/>
      <c r="G722" s="17"/>
      <c r="J722" s="12" t="str">
        <f>IF($A722="","",IF(COUNTIFS(Tasks!$B$5:$B$1000,$A722,Tasks!$A$5:$A$1000,"&lt;&gt;")=0,0,COUNTIFS(Tasks!$B$5:$B$1000,$A722,Tasks!$A$5:$A$1000,"&lt;&gt;",Tasks!$D$5:$D$1000,"Done")/COUNTIFS(Tasks!$B$5:$B$1000,$A722,Tasks!$A$5:$A$1000,"&lt;&gt;")))</f>
        <v/>
      </c>
      <c r="K722" s="11" t="str">
        <f>IF(OR($A722="",$F722=""),"",$F722-Overview!$B$3)</f>
        <v/>
      </c>
    </row>
    <row r="723" spans="4:11" x14ac:dyDescent="0.25">
      <c r="D723" s="18" t="str">
        <f>IF($C723="","",IFERROR(INDEX(Clients!$B$5:$B$1000,MATCH($C723,Clients!$A$5:$A$1000,0)),"Unknown client ID"))</f>
        <v/>
      </c>
      <c r="E723" s="16"/>
      <c r="F723" s="16"/>
      <c r="G723" s="17"/>
      <c r="J723" s="12" t="str">
        <f>IF($A723="","",IF(COUNTIFS(Tasks!$B$5:$B$1000,$A723,Tasks!$A$5:$A$1000,"&lt;&gt;")=0,0,COUNTIFS(Tasks!$B$5:$B$1000,$A723,Tasks!$A$5:$A$1000,"&lt;&gt;",Tasks!$D$5:$D$1000,"Done")/COUNTIFS(Tasks!$B$5:$B$1000,$A723,Tasks!$A$5:$A$1000,"&lt;&gt;")))</f>
        <v/>
      </c>
      <c r="K723" s="11" t="str">
        <f>IF(OR($A723="",$F723=""),"",$F723-Overview!$B$3)</f>
        <v/>
      </c>
    </row>
    <row r="724" spans="4:11" x14ac:dyDescent="0.25">
      <c r="D724" s="18" t="str">
        <f>IF($C724="","",IFERROR(INDEX(Clients!$B$5:$B$1000,MATCH($C724,Clients!$A$5:$A$1000,0)),"Unknown client ID"))</f>
        <v/>
      </c>
      <c r="E724" s="16"/>
      <c r="F724" s="16"/>
      <c r="G724" s="17"/>
      <c r="J724" s="12" t="str">
        <f>IF($A724="","",IF(COUNTIFS(Tasks!$B$5:$B$1000,$A724,Tasks!$A$5:$A$1000,"&lt;&gt;")=0,0,COUNTIFS(Tasks!$B$5:$B$1000,$A724,Tasks!$A$5:$A$1000,"&lt;&gt;",Tasks!$D$5:$D$1000,"Done")/COUNTIFS(Tasks!$B$5:$B$1000,$A724,Tasks!$A$5:$A$1000,"&lt;&gt;")))</f>
        <v/>
      </c>
      <c r="K724" s="11" t="str">
        <f>IF(OR($A724="",$F724=""),"",$F724-Overview!$B$3)</f>
        <v/>
      </c>
    </row>
    <row r="725" spans="4:11" x14ac:dyDescent="0.25">
      <c r="D725" s="18" t="str">
        <f>IF($C725="","",IFERROR(INDEX(Clients!$B$5:$B$1000,MATCH($C725,Clients!$A$5:$A$1000,0)),"Unknown client ID"))</f>
        <v/>
      </c>
      <c r="E725" s="16"/>
      <c r="F725" s="16"/>
      <c r="G725" s="17"/>
      <c r="J725" s="12" t="str">
        <f>IF($A725="","",IF(COUNTIFS(Tasks!$B$5:$B$1000,$A725,Tasks!$A$5:$A$1000,"&lt;&gt;")=0,0,COUNTIFS(Tasks!$B$5:$B$1000,$A725,Tasks!$A$5:$A$1000,"&lt;&gt;",Tasks!$D$5:$D$1000,"Done")/COUNTIFS(Tasks!$B$5:$B$1000,$A725,Tasks!$A$5:$A$1000,"&lt;&gt;")))</f>
        <v/>
      </c>
      <c r="K725" s="11" t="str">
        <f>IF(OR($A725="",$F725=""),"",$F725-Overview!$B$3)</f>
        <v/>
      </c>
    </row>
    <row r="726" spans="4:11" x14ac:dyDescent="0.25">
      <c r="D726" s="18" t="str">
        <f>IF($C726="","",IFERROR(INDEX(Clients!$B$5:$B$1000,MATCH($C726,Clients!$A$5:$A$1000,0)),"Unknown client ID"))</f>
        <v/>
      </c>
      <c r="E726" s="16"/>
      <c r="F726" s="16"/>
      <c r="G726" s="17"/>
      <c r="J726" s="12" t="str">
        <f>IF($A726="","",IF(COUNTIFS(Tasks!$B$5:$B$1000,$A726,Tasks!$A$5:$A$1000,"&lt;&gt;")=0,0,COUNTIFS(Tasks!$B$5:$B$1000,$A726,Tasks!$A$5:$A$1000,"&lt;&gt;",Tasks!$D$5:$D$1000,"Done")/COUNTIFS(Tasks!$B$5:$B$1000,$A726,Tasks!$A$5:$A$1000,"&lt;&gt;")))</f>
        <v/>
      </c>
      <c r="K726" s="11" t="str">
        <f>IF(OR($A726="",$F726=""),"",$F726-Overview!$B$3)</f>
        <v/>
      </c>
    </row>
    <row r="727" spans="4:11" x14ac:dyDescent="0.25">
      <c r="D727" s="18" t="str">
        <f>IF($C727="","",IFERROR(INDEX(Clients!$B$5:$B$1000,MATCH($C727,Clients!$A$5:$A$1000,0)),"Unknown client ID"))</f>
        <v/>
      </c>
      <c r="E727" s="16"/>
      <c r="F727" s="16"/>
      <c r="G727" s="17"/>
      <c r="J727" s="12" t="str">
        <f>IF($A727="","",IF(COUNTIFS(Tasks!$B$5:$B$1000,$A727,Tasks!$A$5:$A$1000,"&lt;&gt;")=0,0,COUNTIFS(Tasks!$B$5:$B$1000,$A727,Tasks!$A$5:$A$1000,"&lt;&gt;",Tasks!$D$5:$D$1000,"Done")/COUNTIFS(Tasks!$B$5:$B$1000,$A727,Tasks!$A$5:$A$1000,"&lt;&gt;")))</f>
        <v/>
      </c>
      <c r="K727" s="11" t="str">
        <f>IF(OR($A727="",$F727=""),"",$F727-Overview!$B$3)</f>
        <v/>
      </c>
    </row>
    <row r="728" spans="4:11" x14ac:dyDescent="0.25">
      <c r="D728" s="18" t="str">
        <f>IF($C728="","",IFERROR(INDEX(Clients!$B$5:$B$1000,MATCH($C728,Clients!$A$5:$A$1000,0)),"Unknown client ID"))</f>
        <v/>
      </c>
      <c r="E728" s="16"/>
      <c r="F728" s="16"/>
      <c r="G728" s="17"/>
      <c r="J728" s="12" t="str">
        <f>IF($A728="","",IF(COUNTIFS(Tasks!$B$5:$B$1000,$A728,Tasks!$A$5:$A$1000,"&lt;&gt;")=0,0,COUNTIFS(Tasks!$B$5:$B$1000,$A728,Tasks!$A$5:$A$1000,"&lt;&gt;",Tasks!$D$5:$D$1000,"Done")/COUNTIFS(Tasks!$B$5:$B$1000,$A728,Tasks!$A$5:$A$1000,"&lt;&gt;")))</f>
        <v/>
      </c>
      <c r="K728" s="11" t="str">
        <f>IF(OR($A728="",$F728=""),"",$F728-Overview!$B$3)</f>
        <v/>
      </c>
    </row>
    <row r="729" spans="4:11" x14ac:dyDescent="0.25">
      <c r="D729" s="18" t="str">
        <f>IF($C729="","",IFERROR(INDEX(Clients!$B$5:$B$1000,MATCH($C729,Clients!$A$5:$A$1000,0)),"Unknown client ID"))</f>
        <v/>
      </c>
      <c r="E729" s="16"/>
      <c r="F729" s="16"/>
      <c r="G729" s="17"/>
      <c r="J729" s="12" t="str">
        <f>IF($A729="","",IF(COUNTIFS(Tasks!$B$5:$B$1000,$A729,Tasks!$A$5:$A$1000,"&lt;&gt;")=0,0,COUNTIFS(Tasks!$B$5:$B$1000,$A729,Tasks!$A$5:$A$1000,"&lt;&gt;",Tasks!$D$5:$D$1000,"Done")/COUNTIFS(Tasks!$B$5:$B$1000,$A729,Tasks!$A$5:$A$1000,"&lt;&gt;")))</f>
        <v/>
      </c>
      <c r="K729" s="11" t="str">
        <f>IF(OR($A729="",$F729=""),"",$F729-Overview!$B$3)</f>
        <v/>
      </c>
    </row>
    <row r="730" spans="4:11" x14ac:dyDescent="0.25">
      <c r="D730" s="18" t="str">
        <f>IF($C730="","",IFERROR(INDEX(Clients!$B$5:$B$1000,MATCH($C730,Clients!$A$5:$A$1000,0)),"Unknown client ID"))</f>
        <v/>
      </c>
      <c r="E730" s="16"/>
      <c r="F730" s="16"/>
      <c r="G730" s="17"/>
      <c r="J730" s="12" t="str">
        <f>IF($A730="","",IF(COUNTIFS(Tasks!$B$5:$B$1000,$A730,Tasks!$A$5:$A$1000,"&lt;&gt;")=0,0,COUNTIFS(Tasks!$B$5:$B$1000,$A730,Tasks!$A$5:$A$1000,"&lt;&gt;",Tasks!$D$5:$D$1000,"Done")/COUNTIFS(Tasks!$B$5:$B$1000,$A730,Tasks!$A$5:$A$1000,"&lt;&gt;")))</f>
        <v/>
      </c>
      <c r="K730" s="11" t="str">
        <f>IF(OR($A730="",$F730=""),"",$F730-Overview!$B$3)</f>
        <v/>
      </c>
    </row>
    <row r="731" spans="4:11" x14ac:dyDescent="0.25">
      <c r="D731" s="18" t="str">
        <f>IF($C731="","",IFERROR(INDEX(Clients!$B$5:$B$1000,MATCH($C731,Clients!$A$5:$A$1000,0)),"Unknown client ID"))</f>
        <v/>
      </c>
      <c r="E731" s="16"/>
      <c r="F731" s="16"/>
      <c r="G731" s="17"/>
      <c r="J731" s="12" t="str">
        <f>IF($A731="","",IF(COUNTIFS(Tasks!$B$5:$B$1000,$A731,Tasks!$A$5:$A$1000,"&lt;&gt;")=0,0,COUNTIFS(Tasks!$B$5:$B$1000,$A731,Tasks!$A$5:$A$1000,"&lt;&gt;",Tasks!$D$5:$D$1000,"Done")/COUNTIFS(Tasks!$B$5:$B$1000,$A731,Tasks!$A$5:$A$1000,"&lt;&gt;")))</f>
        <v/>
      </c>
      <c r="K731" s="11" t="str">
        <f>IF(OR($A731="",$F731=""),"",$F731-Overview!$B$3)</f>
        <v/>
      </c>
    </row>
    <row r="732" spans="4:11" x14ac:dyDescent="0.25">
      <c r="D732" s="18" t="str">
        <f>IF($C732="","",IFERROR(INDEX(Clients!$B$5:$B$1000,MATCH($C732,Clients!$A$5:$A$1000,0)),"Unknown client ID"))</f>
        <v/>
      </c>
      <c r="E732" s="16"/>
      <c r="F732" s="16"/>
      <c r="G732" s="17"/>
      <c r="J732" s="12" t="str">
        <f>IF($A732="","",IF(COUNTIFS(Tasks!$B$5:$B$1000,$A732,Tasks!$A$5:$A$1000,"&lt;&gt;")=0,0,COUNTIFS(Tasks!$B$5:$B$1000,$A732,Tasks!$A$5:$A$1000,"&lt;&gt;",Tasks!$D$5:$D$1000,"Done")/COUNTIFS(Tasks!$B$5:$B$1000,$A732,Tasks!$A$5:$A$1000,"&lt;&gt;")))</f>
        <v/>
      </c>
      <c r="K732" s="11" t="str">
        <f>IF(OR($A732="",$F732=""),"",$F732-Overview!$B$3)</f>
        <v/>
      </c>
    </row>
    <row r="733" spans="4:11" x14ac:dyDescent="0.25">
      <c r="D733" s="18" t="str">
        <f>IF($C733="","",IFERROR(INDEX(Clients!$B$5:$B$1000,MATCH($C733,Clients!$A$5:$A$1000,0)),"Unknown client ID"))</f>
        <v/>
      </c>
      <c r="E733" s="16"/>
      <c r="F733" s="16"/>
      <c r="G733" s="17"/>
      <c r="J733" s="12" t="str">
        <f>IF($A733="","",IF(COUNTIFS(Tasks!$B$5:$B$1000,$A733,Tasks!$A$5:$A$1000,"&lt;&gt;")=0,0,COUNTIFS(Tasks!$B$5:$B$1000,$A733,Tasks!$A$5:$A$1000,"&lt;&gt;",Tasks!$D$5:$D$1000,"Done")/COUNTIFS(Tasks!$B$5:$B$1000,$A733,Tasks!$A$5:$A$1000,"&lt;&gt;")))</f>
        <v/>
      </c>
      <c r="K733" s="11" t="str">
        <f>IF(OR($A733="",$F733=""),"",$F733-Overview!$B$3)</f>
        <v/>
      </c>
    </row>
    <row r="734" spans="4:11" x14ac:dyDescent="0.25">
      <c r="D734" s="18" t="str">
        <f>IF($C734="","",IFERROR(INDEX(Clients!$B$5:$B$1000,MATCH($C734,Clients!$A$5:$A$1000,0)),"Unknown client ID"))</f>
        <v/>
      </c>
      <c r="E734" s="16"/>
      <c r="F734" s="16"/>
      <c r="G734" s="17"/>
      <c r="J734" s="12" t="str">
        <f>IF($A734="","",IF(COUNTIFS(Tasks!$B$5:$B$1000,$A734,Tasks!$A$5:$A$1000,"&lt;&gt;")=0,0,COUNTIFS(Tasks!$B$5:$B$1000,$A734,Tasks!$A$5:$A$1000,"&lt;&gt;",Tasks!$D$5:$D$1000,"Done")/COUNTIFS(Tasks!$B$5:$B$1000,$A734,Tasks!$A$5:$A$1000,"&lt;&gt;")))</f>
        <v/>
      </c>
      <c r="K734" s="11" t="str">
        <f>IF(OR($A734="",$F734=""),"",$F734-Overview!$B$3)</f>
        <v/>
      </c>
    </row>
    <row r="735" spans="4:11" x14ac:dyDescent="0.25">
      <c r="D735" s="18" t="str">
        <f>IF($C735="","",IFERROR(INDEX(Clients!$B$5:$B$1000,MATCH($C735,Clients!$A$5:$A$1000,0)),"Unknown client ID"))</f>
        <v/>
      </c>
      <c r="E735" s="16"/>
      <c r="F735" s="16"/>
      <c r="G735" s="17"/>
      <c r="J735" s="12" t="str">
        <f>IF($A735="","",IF(COUNTIFS(Tasks!$B$5:$B$1000,$A735,Tasks!$A$5:$A$1000,"&lt;&gt;")=0,0,COUNTIFS(Tasks!$B$5:$B$1000,$A735,Tasks!$A$5:$A$1000,"&lt;&gt;",Tasks!$D$5:$D$1000,"Done")/COUNTIFS(Tasks!$B$5:$B$1000,$A735,Tasks!$A$5:$A$1000,"&lt;&gt;")))</f>
        <v/>
      </c>
      <c r="K735" s="11" t="str">
        <f>IF(OR($A735="",$F735=""),"",$F735-Overview!$B$3)</f>
        <v/>
      </c>
    </row>
    <row r="736" spans="4:11" x14ac:dyDescent="0.25">
      <c r="D736" s="18" t="str">
        <f>IF($C736="","",IFERROR(INDEX(Clients!$B$5:$B$1000,MATCH($C736,Clients!$A$5:$A$1000,0)),"Unknown client ID"))</f>
        <v/>
      </c>
      <c r="E736" s="16"/>
      <c r="F736" s="16"/>
      <c r="G736" s="17"/>
      <c r="J736" s="12" t="str">
        <f>IF($A736="","",IF(COUNTIFS(Tasks!$B$5:$B$1000,$A736,Tasks!$A$5:$A$1000,"&lt;&gt;")=0,0,COUNTIFS(Tasks!$B$5:$B$1000,$A736,Tasks!$A$5:$A$1000,"&lt;&gt;",Tasks!$D$5:$D$1000,"Done")/COUNTIFS(Tasks!$B$5:$B$1000,$A736,Tasks!$A$5:$A$1000,"&lt;&gt;")))</f>
        <v/>
      </c>
      <c r="K736" s="11" t="str">
        <f>IF(OR($A736="",$F736=""),"",$F736-Overview!$B$3)</f>
        <v/>
      </c>
    </row>
    <row r="737" spans="4:11" x14ac:dyDescent="0.25">
      <c r="D737" s="18" t="str">
        <f>IF($C737="","",IFERROR(INDEX(Clients!$B$5:$B$1000,MATCH($C737,Clients!$A$5:$A$1000,0)),"Unknown client ID"))</f>
        <v/>
      </c>
      <c r="E737" s="16"/>
      <c r="F737" s="16"/>
      <c r="G737" s="17"/>
      <c r="J737" s="12" t="str">
        <f>IF($A737="","",IF(COUNTIFS(Tasks!$B$5:$B$1000,$A737,Tasks!$A$5:$A$1000,"&lt;&gt;")=0,0,COUNTIFS(Tasks!$B$5:$B$1000,$A737,Tasks!$A$5:$A$1000,"&lt;&gt;",Tasks!$D$5:$D$1000,"Done")/COUNTIFS(Tasks!$B$5:$B$1000,$A737,Tasks!$A$5:$A$1000,"&lt;&gt;")))</f>
        <v/>
      </c>
      <c r="K737" s="11" t="str">
        <f>IF(OR($A737="",$F737=""),"",$F737-Overview!$B$3)</f>
        <v/>
      </c>
    </row>
    <row r="738" spans="4:11" x14ac:dyDescent="0.25">
      <c r="D738" s="18" t="str">
        <f>IF($C738="","",IFERROR(INDEX(Clients!$B$5:$B$1000,MATCH($C738,Clients!$A$5:$A$1000,0)),"Unknown client ID"))</f>
        <v/>
      </c>
      <c r="E738" s="16"/>
      <c r="F738" s="16"/>
      <c r="G738" s="17"/>
      <c r="J738" s="12" t="str">
        <f>IF($A738="","",IF(COUNTIFS(Tasks!$B$5:$B$1000,$A738,Tasks!$A$5:$A$1000,"&lt;&gt;")=0,0,COUNTIFS(Tasks!$B$5:$B$1000,$A738,Tasks!$A$5:$A$1000,"&lt;&gt;",Tasks!$D$5:$D$1000,"Done")/COUNTIFS(Tasks!$B$5:$B$1000,$A738,Tasks!$A$5:$A$1000,"&lt;&gt;")))</f>
        <v/>
      </c>
      <c r="K738" s="11" t="str">
        <f>IF(OR($A738="",$F738=""),"",$F738-Overview!$B$3)</f>
        <v/>
      </c>
    </row>
    <row r="739" spans="4:11" x14ac:dyDescent="0.25">
      <c r="D739" s="18" t="str">
        <f>IF($C739="","",IFERROR(INDEX(Clients!$B$5:$B$1000,MATCH($C739,Clients!$A$5:$A$1000,0)),"Unknown client ID"))</f>
        <v/>
      </c>
      <c r="E739" s="16"/>
      <c r="F739" s="16"/>
      <c r="G739" s="17"/>
      <c r="J739" s="12" t="str">
        <f>IF($A739="","",IF(COUNTIFS(Tasks!$B$5:$B$1000,$A739,Tasks!$A$5:$A$1000,"&lt;&gt;")=0,0,COUNTIFS(Tasks!$B$5:$B$1000,$A739,Tasks!$A$5:$A$1000,"&lt;&gt;",Tasks!$D$5:$D$1000,"Done")/COUNTIFS(Tasks!$B$5:$B$1000,$A739,Tasks!$A$5:$A$1000,"&lt;&gt;")))</f>
        <v/>
      </c>
      <c r="K739" s="11" t="str">
        <f>IF(OR($A739="",$F739=""),"",$F739-Overview!$B$3)</f>
        <v/>
      </c>
    </row>
    <row r="740" spans="4:11" x14ac:dyDescent="0.25">
      <c r="D740" s="18" t="str">
        <f>IF($C740="","",IFERROR(INDEX(Clients!$B$5:$B$1000,MATCH($C740,Clients!$A$5:$A$1000,0)),"Unknown client ID"))</f>
        <v/>
      </c>
      <c r="E740" s="16"/>
      <c r="F740" s="16"/>
      <c r="G740" s="17"/>
      <c r="J740" s="12" t="str">
        <f>IF($A740="","",IF(COUNTIFS(Tasks!$B$5:$B$1000,$A740,Tasks!$A$5:$A$1000,"&lt;&gt;")=0,0,COUNTIFS(Tasks!$B$5:$B$1000,$A740,Tasks!$A$5:$A$1000,"&lt;&gt;",Tasks!$D$5:$D$1000,"Done")/COUNTIFS(Tasks!$B$5:$B$1000,$A740,Tasks!$A$5:$A$1000,"&lt;&gt;")))</f>
        <v/>
      </c>
      <c r="K740" s="11" t="str">
        <f>IF(OR($A740="",$F740=""),"",$F740-Overview!$B$3)</f>
        <v/>
      </c>
    </row>
    <row r="741" spans="4:11" x14ac:dyDescent="0.25">
      <c r="D741" s="18" t="str">
        <f>IF($C741="","",IFERROR(INDEX(Clients!$B$5:$B$1000,MATCH($C741,Clients!$A$5:$A$1000,0)),"Unknown client ID"))</f>
        <v/>
      </c>
      <c r="E741" s="16"/>
      <c r="F741" s="16"/>
      <c r="G741" s="17"/>
      <c r="J741" s="12" t="str">
        <f>IF($A741="","",IF(COUNTIFS(Tasks!$B$5:$B$1000,$A741,Tasks!$A$5:$A$1000,"&lt;&gt;")=0,0,COUNTIFS(Tasks!$B$5:$B$1000,$A741,Tasks!$A$5:$A$1000,"&lt;&gt;",Tasks!$D$5:$D$1000,"Done")/COUNTIFS(Tasks!$B$5:$B$1000,$A741,Tasks!$A$5:$A$1000,"&lt;&gt;")))</f>
        <v/>
      </c>
      <c r="K741" s="11" t="str">
        <f>IF(OR($A741="",$F741=""),"",$F741-Overview!$B$3)</f>
        <v/>
      </c>
    </row>
    <row r="742" spans="4:11" x14ac:dyDescent="0.25">
      <c r="D742" s="18" t="str">
        <f>IF($C742="","",IFERROR(INDEX(Clients!$B$5:$B$1000,MATCH($C742,Clients!$A$5:$A$1000,0)),"Unknown client ID"))</f>
        <v/>
      </c>
      <c r="E742" s="16"/>
      <c r="F742" s="16"/>
      <c r="G742" s="17"/>
      <c r="J742" s="12" t="str">
        <f>IF($A742="","",IF(COUNTIFS(Tasks!$B$5:$B$1000,$A742,Tasks!$A$5:$A$1000,"&lt;&gt;")=0,0,COUNTIFS(Tasks!$B$5:$B$1000,$A742,Tasks!$A$5:$A$1000,"&lt;&gt;",Tasks!$D$5:$D$1000,"Done")/COUNTIFS(Tasks!$B$5:$B$1000,$A742,Tasks!$A$5:$A$1000,"&lt;&gt;")))</f>
        <v/>
      </c>
      <c r="K742" s="11" t="str">
        <f>IF(OR($A742="",$F742=""),"",$F742-Overview!$B$3)</f>
        <v/>
      </c>
    </row>
    <row r="743" spans="4:11" x14ac:dyDescent="0.25">
      <c r="D743" s="18" t="str">
        <f>IF($C743="","",IFERROR(INDEX(Clients!$B$5:$B$1000,MATCH($C743,Clients!$A$5:$A$1000,0)),"Unknown client ID"))</f>
        <v/>
      </c>
      <c r="E743" s="16"/>
      <c r="F743" s="16"/>
      <c r="G743" s="17"/>
      <c r="J743" s="12" t="str">
        <f>IF($A743="","",IF(COUNTIFS(Tasks!$B$5:$B$1000,$A743,Tasks!$A$5:$A$1000,"&lt;&gt;")=0,0,COUNTIFS(Tasks!$B$5:$B$1000,$A743,Tasks!$A$5:$A$1000,"&lt;&gt;",Tasks!$D$5:$D$1000,"Done")/COUNTIFS(Tasks!$B$5:$B$1000,$A743,Tasks!$A$5:$A$1000,"&lt;&gt;")))</f>
        <v/>
      </c>
      <c r="K743" s="11" t="str">
        <f>IF(OR($A743="",$F743=""),"",$F743-Overview!$B$3)</f>
        <v/>
      </c>
    </row>
    <row r="744" spans="4:11" x14ac:dyDescent="0.25">
      <c r="D744" s="18" t="str">
        <f>IF($C744="","",IFERROR(INDEX(Clients!$B$5:$B$1000,MATCH($C744,Clients!$A$5:$A$1000,0)),"Unknown client ID"))</f>
        <v/>
      </c>
      <c r="E744" s="16"/>
      <c r="F744" s="16"/>
      <c r="G744" s="17"/>
      <c r="J744" s="12" t="str">
        <f>IF($A744="","",IF(COUNTIFS(Tasks!$B$5:$B$1000,$A744,Tasks!$A$5:$A$1000,"&lt;&gt;")=0,0,COUNTIFS(Tasks!$B$5:$B$1000,$A744,Tasks!$A$5:$A$1000,"&lt;&gt;",Tasks!$D$5:$D$1000,"Done")/COUNTIFS(Tasks!$B$5:$B$1000,$A744,Tasks!$A$5:$A$1000,"&lt;&gt;")))</f>
        <v/>
      </c>
      <c r="K744" s="11" t="str">
        <f>IF(OR($A744="",$F744=""),"",$F744-Overview!$B$3)</f>
        <v/>
      </c>
    </row>
    <row r="745" spans="4:11" x14ac:dyDescent="0.25">
      <c r="D745" s="18" t="str">
        <f>IF($C745="","",IFERROR(INDEX(Clients!$B$5:$B$1000,MATCH($C745,Clients!$A$5:$A$1000,0)),"Unknown client ID"))</f>
        <v/>
      </c>
      <c r="E745" s="16"/>
      <c r="F745" s="16"/>
      <c r="G745" s="17"/>
      <c r="J745" s="12" t="str">
        <f>IF($A745="","",IF(COUNTIFS(Tasks!$B$5:$B$1000,$A745,Tasks!$A$5:$A$1000,"&lt;&gt;")=0,0,COUNTIFS(Tasks!$B$5:$B$1000,$A745,Tasks!$A$5:$A$1000,"&lt;&gt;",Tasks!$D$5:$D$1000,"Done")/COUNTIFS(Tasks!$B$5:$B$1000,$A745,Tasks!$A$5:$A$1000,"&lt;&gt;")))</f>
        <v/>
      </c>
      <c r="K745" s="11" t="str">
        <f>IF(OR($A745="",$F745=""),"",$F745-Overview!$B$3)</f>
        <v/>
      </c>
    </row>
    <row r="746" spans="4:11" x14ac:dyDescent="0.25">
      <c r="D746" s="18" t="str">
        <f>IF($C746="","",IFERROR(INDEX(Clients!$B$5:$B$1000,MATCH($C746,Clients!$A$5:$A$1000,0)),"Unknown client ID"))</f>
        <v/>
      </c>
      <c r="E746" s="16"/>
      <c r="F746" s="16"/>
      <c r="G746" s="17"/>
      <c r="J746" s="12" t="str">
        <f>IF($A746="","",IF(COUNTIFS(Tasks!$B$5:$B$1000,$A746,Tasks!$A$5:$A$1000,"&lt;&gt;")=0,0,COUNTIFS(Tasks!$B$5:$B$1000,$A746,Tasks!$A$5:$A$1000,"&lt;&gt;",Tasks!$D$5:$D$1000,"Done")/COUNTIFS(Tasks!$B$5:$B$1000,$A746,Tasks!$A$5:$A$1000,"&lt;&gt;")))</f>
        <v/>
      </c>
      <c r="K746" s="11" t="str">
        <f>IF(OR($A746="",$F746=""),"",$F746-Overview!$B$3)</f>
        <v/>
      </c>
    </row>
    <row r="747" spans="4:11" x14ac:dyDescent="0.25">
      <c r="D747" s="18" t="str">
        <f>IF($C747="","",IFERROR(INDEX(Clients!$B$5:$B$1000,MATCH($C747,Clients!$A$5:$A$1000,0)),"Unknown client ID"))</f>
        <v/>
      </c>
      <c r="E747" s="16"/>
      <c r="F747" s="16"/>
      <c r="G747" s="17"/>
      <c r="J747" s="12" t="str">
        <f>IF($A747="","",IF(COUNTIFS(Tasks!$B$5:$B$1000,$A747,Tasks!$A$5:$A$1000,"&lt;&gt;")=0,0,COUNTIFS(Tasks!$B$5:$B$1000,$A747,Tasks!$A$5:$A$1000,"&lt;&gt;",Tasks!$D$5:$D$1000,"Done")/COUNTIFS(Tasks!$B$5:$B$1000,$A747,Tasks!$A$5:$A$1000,"&lt;&gt;")))</f>
        <v/>
      </c>
      <c r="K747" s="11" t="str">
        <f>IF(OR($A747="",$F747=""),"",$F747-Overview!$B$3)</f>
        <v/>
      </c>
    </row>
    <row r="748" spans="4:11" x14ac:dyDescent="0.25">
      <c r="D748" s="18" t="str">
        <f>IF($C748="","",IFERROR(INDEX(Clients!$B$5:$B$1000,MATCH($C748,Clients!$A$5:$A$1000,0)),"Unknown client ID"))</f>
        <v/>
      </c>
      <c r="E748" s="16"/>
      <c r="F748" s="16"/>
      <c r="G748" s="17"/>
      <c r="J748" s="12" t="str">
        <f>IF($A748="","",IF(COUNTIFS(Tasks!$B$5:$B$1000,$A748,Tasks!$A$5:$A$1000,"&lt;&gt;")=0,0,COUNTIFS(Tasks!$B$5:$B$1000,$A748,Tasks!$A$5:$A$1000,"&lt;&gt;",Tasks!$D$5:$D$1000,"Done")/COUNTIFS(Tasks!$B$5:$B$1000,$A748,Tasks!$A$5:$A$1000,"&lt;&gt;")))</f>
        <v/>
      </c>
      <c r="K748" s="11" t="str">
        <f>IF(OR($A748="",$F748=""),"",$F748-Overview!$B$3)</f>
        <v/>
      </c>
    </row>
    <row r="749" spans="4:11" x14ac:dyDescent="0.25">
      <c r="D749" s="18" t="str">
        <f>IF($C749="","",IFERROR(INDEX(Clients!$B$5:$B$1000,MATCH($C749,Clients!$A$5:$A$1000,0)),"Unknown client ID"))</f>
        <v/>
      </c>
      <c r="E749" s="16"/>
      <c r="F749" s="16"/>
      <c r="G749" s="17"/>
      <c r="J749" s="12" t="str">
        <f>IF($A749="","",IF(COUNTIFS(Tasks!$B$5:$B$1000,$A749,Tasks!$A$5:$A$1000,"&lt;&gt;")=0,0,COUNTIFS(Tasks!$B$5:$B$1000,$A749,Tasks!$A$5:$A$1000,"&lt;&gt;",Tasks!$D$5:$D$1000,"Done")/COUNTIFS(Tasks!$B$5:$B$1000,$A749,Tasks!$A$5:$A$1000,"&lt;&gt;")))</f>
        <v/>
      </c>
      <c r="K749" s="11" t="str">
        <f>IF(OR($A749="",$F749=""),"",$F749-Overview!$B$3)</f>
        <v/>
      </c>
    </row>
    <row r="750" spans="4:11" x14ac:dyDescent="0.25">
      <c r="D750" s="18" t="str">
        <f>IF($C750="","",IFERROR(INDEX(Clients!$B$5:$B$1000,MATCH($C750,Clients!$A$5:$A$1000,0)),"Unknown client ID"))</f>
        <v/>
      </c>
      <c r="E750" s="16"/>
      <c r="F750" s="16"/>
      <c r="G750" s="17"/>
      <c r="J750" s="12" t="str">
        <f>IF($A750="","",IF(COUNTIFS(Tasks!$B$5:$B$1000,$A750,Tasks!$A$5:$A$1000,"&lt;&gt;")=0,0,COUNTIFS(Tasks!$B$5:$B$1000,$A750,Tasks!$A$5:$A$1000,"&lt;&gt;",Tasks!$D$5:$D$1000,"Done")/COUNTIFS(Tasks!$B$5:$B$1000,$A750,Tasks!$A$5:$A$1000,"&lt;&gt;")))</f>
        <v/>
      </c>
      <c r="K750" s="11" t="str">
        <f>IF(OR($A750="",$F750=""),"",$F750-Overview!$B$3)</f>
        <v/>
      </c>
    </row>
    <row r="751" spans="4:11" x14ac:dyDescent="0.25">
      <c r="D751" s="18" t="str">
        <f>IF($C751="","",IFERROR(INDEX(Clients!$B$5:$B$1000,MATCH($C751,Clients!$A$5:$A$1000,0)),"Unknown client ID"))</f>
        <v/>
      </c>
      <c r="E751" s="16"/>
      <c r="F751" s="16"/>
      <c r="G751" s="17"/>
      <c r="J751" s="12" t="str">
        <f>IF($A751="","",IF(COUNTIFS(Tasks!$B$5:$B$1000,$A751,Tasks!$A$5:$A$1000,"&lt;&gt;")=0,0,COUNTIFS(Tasks!$B$5:$B$1000,$A751,Tasks!$A$5:$A$1000,"&lt;&gt;",Tasks!$D$5:$D$1000,"Done")/COUNTIFS(Tasks!$B$5:$B$1000,$A751,Tasks!$A$5:$A$1000,"&lt;&gt;")))</f>
        <v/>
      </c>
      <c r="K751" s="11" t="str">
        <f>IF(OR($A751="",$F751=""),"",$F751-Overview!$B$3)</f>
        <v/>
      </c>
    </row>
    <row r="752" spans="4:11" x14ac:dyDescent="0.25">
      <c r="D752" s="18" t="str">
        <f>IF($C752="","",IFERROR(INDEX(Clients!$B$5:$B$1000,MATCH($C752,Clients!$A$5:$A$1000,0)),"Unknown client ID"))</f>
        <v/>
      </c>
      <c r="E752" s="16"/>
      <c r="F752" s="16"/>
      <c r="G752" s="17"/>
      <c r="J752" s="12" t="str">
        <f>IF($A752="","",IF(COUNTIFS(Tasks!$B$5:$B$1000,$A752,Tasks!$A$5:$A$1000,"&lt;&gt;")=0,0,COUNTIFS(Tasks!$B$5:$B$1000,$A752,Tasks!$A$5:$A$1000,"&lt;&gt;",Tasks!$D$5:$D$1000,"Done")/COUNTIFS(Tasks!$B$5:$B$1000,$A752,Tasks!$A$5:$A$1000,"&lt;&gt;")))</f>
        <v/>
      </c>
      <c r="K752" s="11" t="str">
        <f>IF(OR($A752="",$F752=""),"",$F752-Overview!$B$3)</f>
        <v/>
      </c>
    </row>
    <row r="753" spans="4:11" x14ac:dyDescent="0.25">
      <c r="D753" s="18" t="str">
        <f>IF($C753="","",IFERROR(INDEX(Clients!$B$5:$B$1000,MATCH($C753,Clients!$A$5:$A$1000,0)),"Unknown client ID"))</f>
        <v/>
      </c>
      <c r="E753" s="16"/>
      <c r="F753" s="16"/>
      <c r="G753" s="17"/>
      <c r="J753" s="12" t="str">
        <f>IF($A753="","",IF(COUNTIFS(Tasks!$B$5:$B$1000,$A753,Tasks!$A$5:$A$1000,"&lt;&gt;")=0,0,COUNTIFS(Tasks!$B$5:$B$1000,$A753,Tasks!$A$5:$A$1000,"&lt;&gt;",Tasks!$D$5:$D$1000,"Done")/COUNTIFS(Tasks!$B$5:$B$1000,$A753,Tasks!$A$5:$A$1000,"&lt;&gt;")))</f>
        <v/>
      </c>
      <c r="K753" s="11" t="str">
        <f>IF(OR($A753="",$F753=""),"",$F753-Overview!$B$3)</f>
        <v/>
      </c>
    </row>
    <row r="754" spans="4:11" x14ac:dyDescent="0.25">
      <c r="D754" s="18" t="str">
        <f>IF($C754="","",IFERROR(INDEX(Clients!$B$5:$B$1000,MATCH($C754,Clients!$A$5:$A$1000,0)),"Unknown client ID"))</f>
        <v/>
      </c>
      <c r="E754" s="16"/>
      <c r="F754" s="16"/>
      <c r="G754" s="17"/>
      <c r="J754" s="12" t="str">
        <f>IF($A754="","",IF(COUNTIFS(Tasks!$B$5:$B$1000,$A754,Tasks!$A$5:$A$1000,"&lt;&gt;")=0,0,COUNTIFS(Tasks!$B$5:$B$1000,$A754,Tasks!$A$5:$A$1000,"&lt;&gt;",Tasks!$D$5:$D$1000,"Done")/COUNTIFS(Tasks!$B$5:$B$1000,$A754,Tasks!$A$5:$A$1000,"&lt;&gt;")))</f>
        <v/>
      </c>
      <c r="K754" s="11" t="str">
        <f>IF(OR($A754="",$F754=""),"",$F754-Overview!$B$3)</f>
        <v/>
      </c>
    </row>
    <row r="755" spans="4:11" x14ac:dyDescent="0.25">
      <c r="D755" s="18" t="str">
        <f>IF($C755="","",IFERROR(INDEX(Clients!$B$5:$B$1000,MATCH($C755,Clients!$A$5:$A$1000,0)),"Unknown client ID"))</f>
        <v/>
      </c>
      <c r="E755" s="16"/>
      <c r="F755" s="16"/>
      <c r="G755" s="17"/>
      <c r="J755" s="12" t="str">
        <f>IF($A755="","",IF(COUNTIFS(Tasks!$B$5:$B$1000,$A755,Tasks!$A$5:$A$1000,"&lt;&gt;")=0,0,COUNTIFS(Tasks!$B$5:$B$1000,$A755,Tasks!$A$5:$A$1000,"&lt;&gt;",Tasks!$D$5:$D$1000,"Done")/COUNTIFS(Tasks!$B$5:$B$1000,$A755,Tasks!$A$5:$A$1000,"&lt;&gt;")))</f>
        <v/>
      </c>
      <c r="K755" s="11" t="str">
        <f>IF(OR($A755="",$F755=""),"",$F755-Overview!$B$3)</f>
        <v/>
      </c>
    </row>
    <row r="756" spans="4:11" x14ac:dyDescent="0.25">
      <c r="D756" s="18" t="str">
        <f>IF($C756="","",IFERROR(INDEX(Clients!$B$5:$B$1000,MATCH($C756,Clients!$A$5:$A$1000,0)),"Unknown client ID"))</f>
        <v/>
      </c>
      <c r="E756" s="16"/>
      <c r="F756" s="16"/>
      <c r="G756" s="17"/>
      <c r="J756" s="12" t="str">
        <f>IF($A756="","",IF(COUNTIFS(Tasks!$B$5:$B$1000,$A756,Tasks!$A$5:$A$1000,"&lt;&gt;")=0,0,COUNTIFS(Tasks!$B$5:$B$1000,$A756,Tasks!$A$5:$A$1000,"&lt;&gt;",Tasks!$D$5:$D$1000,"Done")/COUNTIFS(Tasks!$B$5:$B$1000,$A756,Tasks!$A$5:$A$1000,"&lt;&gt;")))</f>
        <v/>
      </c>
      <c r="K756" s="11" t="str">
        <f>IF(OR($A756="",$F756=""),"",$F756-Overview!$B$3)</f>
        <v/>
      </c>
    </row>
    <row r="757" spans="4:11" x14ac:dyDescent="0.25">
      <c r="D757" s="18" t="str">
        <f>IF($C757="","",IFERROR(INDEX(Clients!$B$5:$B$1000,MATCH($C757,Clients!$A$5:$A$1000,0)),"Unknown client ID"))</f>
        <v/>
      </c>
      <c r="E757" s="16"/>
      <c r="F757" s="16"/>
      <c r="G757" s="17"/>
      <c r="J757" s="12" t="str">
        <f>IF($A757="","",IF(COUNTIFS(Tasks!$B$5:$B$1000,$A757,Tasks!$A$5:$A$1000,"&lt;&gt;")=0,0,COUNTIFS(Tasks!$B$5:$B$1000,$A757,Tasks!$A$5:$A$1000,"&lt;&gt;",Tasks!$D$5:$D$1000,"Done")/COUNTIFS(Tasks!$B$5:$B$1000,$A757,Tasks!$A$5:$A$1000,"&lt;&gt;")))</f>
        <v/>
      </c>
      <c r="K757" s="11" t="str">
        <f>IF(OR($A757="",$F757=""),"",$F757-Overview!$B$3)</f>
        <v/>
      </c>
    </row>
    <row r="758" spans="4:11" x14ac:dyDescent="0.25">
      <c r="D758" s="18" t="str">
        <f>IF($C758="","",IFERROR(INDEX(Clients!$B$5:$B$1000,MATCH($C758,Clients!$A$5:$A$1000,0)),"Unknown client ID"))</f>
        <v/>
      </c>
      <c r="E758" s="16"/>
      <c r="F758" s="16"/>
      <c r="G758" s="17"/>
      <c r="J758" s="12" t="str">
        <f>IF($A758="","",IF(COUNTIFS(Tasks!$B$5:$B$1000,$A758,Tasks!$A$5:$A$1000,"&lt;&gt;")=0,0,COUNTIFS(Tasks!$B$5:$B$1000,$A758,Tasks!$A$5:$A$1000,"&lt;&gt;",Tasks!$D$5:$D$1000,"Done")/COUNTIFS(Tasks!$B$5:$B$1000,$A758,Tasks!$A$5:$A$1000,"&lt;&gt;")))</f>
        <v/>
      </c>
      <c r="K758" s="11" t="str">
        <f>IF(OR($A758="",$F758=""),"",$F758-Overview!$B$3)</f>
        <v/>
      </c>
    </row>
    <row r="759" spans="4:11" x14ac:dyDescent="0.25">
      <c r="D759" s="18" t="str">
        <f>IF($C759="","",IFERROR(INDEX(Clients!$B$5:$B$1000,MATCH($C759,Clients!$A$5:$A$1000,0)),"Unknown client ID"))</f>
        <v/>
      </c>
      <c r="E759" s="16"/>
      <c r="F759" s="16"/>
      <c r="G759" s="17"/>
      <c r="J759" s="12" t="str">
        <f>IF($A759="","",IF(COUNTIFS(Tasks!$B$5:$B$1000,$A759,Tasks!$A$5:$A$1000,"&lt;&gt;")=0,0,COUNTIFS(Tasks!$B$5:$B$1000,$A759,Tasks!$A$5:$A$1000,"&lt;&gt;",Tasks!$D$5:$D$1000,"Done")/COUNTIFS(Tasks!$B$5:$B$1000,$A759,Tasks!$A$5:$A$1000,"&lt;&gt;")))</f>
        <v/>
      </c>
      <c r="K759" s="11" t="str">
        <f>IF(OR($A759="",$F759=""),"",$F759-Overview!$B$3)</f>
        <v/>
      </c>
    </row>
    <row r="760" spans="4:11" x14ac:dyDescent="0.25">
      <c r="D760" s="18" t="str">
        <f>IF($C760="","",IFERROR(INDEX(Clients!$B$5:$B$1000,MATCH($C760,Clients!$A$5:$A$1000,0)),"Unknown client ID"))</f>
        <v/>
      </c>
      <c r="E760" s="16"/>
      <c r="F760" s="16"/>
      <c r="G760" s="17"/>
      <c r="J760" s="12" t="str">
        <f>IF($A760="","",IF(COUNTIFS(Tasks!$B$5:$B$1000,$A760,Tasks!$A$5:$A$1000,"&lt;&gt;")=0,0,COUNTIFS(Tasks!$B$5:$B$1000,$A760,Tasks!$A$5:$A$1000,"&lt;&gt;",Tasks!$D$5:$D$1000,"Done")/COUNTIFS(Tasks!$B$5:$B$1000,$A760,Tasks!$A$5:$A$1000,"&lt;&gt;")))</f>
        <v/>
      </c>
      <c r="K760" s="11" t="str">
        <f>IF(OR($A760="",$F760=""),"",$F760-Overview!$B$3)</f>
        <v/>
      </c>
    </row>
    <row r="761" spans="4:11" x14ac:dyDescent="0.25">
      <c r="D761" s="18" t="str">
        <f>IF($C761="","",IFERROR(INDEX(Clients!$B$5:$B$1000,MATCH($C761,Clients!$A$5:$A$1000,0)),"Unknown client ID"))</f>
        <v/>
      </c>
      <c r="E761" s="16"/>
      <c r="F761" s="16"/>
      <c r="G761" s="17"/>
      <c r="J761" s="12" t="str">
        <f>IF($A761="","",IF(COUNTIFS(Tasks!$B$5:$B$1000,$A761,Tasks!$A$5:$A$1000,"&lt;&gt;")=0,0,COUNTIFS(Tasks!$B$5:$B$1000,$A761,Tasks!$A$5:$A$1000,"&lt;&gt;",Tasks!$D$5:$D$1000,"Done")/COUNTIFS(Tasks!$B$5:$B$1000,$A761,Tasks!$A$5:$A$1000,"&lt;&gt;")))</f>
        <v/>
      </c>
      <c r="K761" s="11" t="str">
        <f>IF(OR($A761="",$F761=""),"",$F761-Overview!$B$3)</f>
        <v/>
      </c>
    </row>
    <row r="762" spans="4:11" x14ac:dyDescent="0.25">
      <c r="D762" s="18" t="str">
        <f>IF($C762="","",IFERROR(INDEX(Clients!$B$5:$B$1000,MATCH($C762,Clients!$A$5:$A$1000,0)),"Unknown client ID"))</f>
        <v/>
      </c>
      <c r="E762" s="16"/>
      <c r="F762" s="16"/>
      <c r="G762" s="17"/>
      <c r="J762" s="12" t="str">
        <f>IF($A762="","",IF(COUNTIFS(Tasks!$B$5:$B$1000,$A762,Tasks!$A$5:$A$1000,"&lt;&gt;")=0,0,COUNTIFS(Tasks!$B$5:$B$1000,$A762,Tasks!$A$5:$A$1000,"&lt;&gt;",Tasks!$D$5:$D$1000,"Done")/COUNTIFS(Tasks!$B$5:$B$1000,$A762,Tasks!$A$5:$A$1000,"&lt;&gt;")))</f>
        <v/>
      </c>
      <c r="K762" s="11" t="str">
        <f>IF(OR($A762="",$F762=""),"",$F762-Overview!$B$3)</f>
        <v/>
      </c>
    </row>
    <row r="763" spans="4:11" x14ac:dyDescent="0.25">
      <c r="D763" s="18" t="str">
        <f>IF($C763="","",IFERROR(INDEX(Clients!$B$5:$B$1000,MATCH($C763,Clients!$A$5:$A$1000,0)),"Unknown client ID"))</f>
        <v/>
      </c>
      <c r="E763" s="16"/>
      <c r="F763" s="16"/>
      <c r="G763" s="17"/>
      <c r="J763" s="12" t="str">
        <f>IF($A763="","",IF(COUNTIFS(Tasks!$B$5:$B$1000,$A763,Tasks!$A$5:$A$1000,"&lt;&gt;")=0,0,COUNTIFS(Tasks!$B$5:$B$1000,$A763,Tasks!$A$5:$A$1000,"&lt;&gt;",Tasks!$D$5:$D$1000,"Done")/COUNTIFS(Tasks!$B$5:$B$1000,$A763,Tasks!$A$5:$A$1000,"&lt;&gt;")))</f>
        <v/>
      </c>
      <c r="K763" s="11" t="str">
        <f>IF(OR($A763="",$F763=""),"",$F763-Overview!$B$3)</f>
        <v/>
      </c>
    </row>
    <row r="764" spans="4:11" x14ac:dyDescent="0.25">
      <c r="D764" s="18" t="str">
        <f>IF($C764="","",IFERROR(INDEX(Clients!$B$5:$B$1000,MATCH($C764,Clients!$A$5:$A$1000,0)),"Unknown client ID"))</f>
        <v/>
      </c>
      <c r="E764" s="16"/>
      <c r="F764" s="16"/>
      <c r="G764" s="17"/>
      <c r="J764" s="12" t="str">
        <f>IF($A764="","",IF(COUNTIFS(Tasks!$B$5:$B$1000,$A764,Tasks!$A$5:$A$1000,"&lt;&gt;")=0,0,COUNTIFS(Tasks!$B$5:$B$1000,$A764,Tasks!$A$5:$A$1000,"&lt;&gt;",Tasks!$D$5:$D$1000,"Done")/COUNTIFS(Tasks!$B$5:$B$1000,$A764,Tasks!$A$5:$A$1000,"&lt;&gt;")))</f>
        <v/>
      </c>
      <c r="K764" s="11" t="str">
        <f>IF(OR($A764="",$F764=""),"",$F764-Overview!$B$3)</f>
        <v/>
      </c>
    </row>
    <row r="765" spans="4:11" x14ac:dyDescent="0.25">
      <c r="D765" s="18" t="str">
        <f>IF($C765="","",IFERROR(INDEX(Clients!$B$5:$B$1000,MATCH($C765,Clients!$A$5:$A$1000,0)),"Unknown client ID"))</f>
        <v/>
      </c>
      <c r="E765" s="16"/>
      <c r="F765" s="16"/>
      <c r="G765" s="17"/>
      <c r="J765" s="12" t="str">
        <f>IF($A765="","",IF(COUNTIFS(Tasks!$B$5:$B$1000,$A765,Tasks!$A$5:$A$1000,"&lt;&gt;")=0,0,COUNTIFS(Tasks!$B$5:$B$1000,$A765,Tasks!$A$5:$A$1000,"&lt;&gt;",Tasks!$D$5:$D$1000,"Done")/COUNTIFS(Tasks!$B$5:$B$1000,$A765,Tasks!$A$5:$A$1000,"&lt;&gt;")))</f>
        <v/>
      </c>
      <c r="K765" s="11" t="str">
        <f>IF(OR($A765="",$F765=""),"",$F765-Overview!$B$3)</f>
        <v/>
      </c>
    </row>
    <row r="766" spans="4:11" x14ac:dyDescent="0.25">
      <c r="D766" s="18" t="str">
        <f>IF($C766="","",IFERROR(INDEX(Clients!$B$5:$B$1000,MATCH($C766,Clients!$A$5:$A$1000,0)),"Unknown client ID"))</f>
        <v/>
      </c>
      <c r="E766" s="16"/>
      <c r="F766" s="16"/>
      <c r="G766" s="17"/>
      <c r="J766" s="12" t="str">
        <f>IF($A766="","",IF(COUNTIFS(Tasks!$B$5:$B$1000,$A766,Tasks!$A$5:$A$1000,"&lt;&gt;")=0,0,COUNTIFS(Tasks!$B$5:$B$1000,$A766,Tasks!$A$5:$A$1000,"&lt;&gt;",Tasks!$D$5:$D$1000,"Done")/COUNTIFS(Tasks!$B$5:$B$1000,$A766,Tasks!$A$5:$A$1000,"&lt;&gt;")))</f>
        <v/>
      </c>
      <c r="K766" s="11" t="str">
        <f>IF(OR($A766="",$F766=""),"",$F766-Overview!$B$3)</f>
        <v/>
      </c>
    </row>
    <row r="767" spans="4:11" x14ac:dyDescent="0.25">
      <c r="D767" s="18" t="str">
        <f>IF($C767="","",IFERROR(INDEX(Clients!$B$5:$B$1000,MATCH($C767,Clients!$A$5:$A$1000,0)),"Unknown client ID"))</f>
        <v/>
      </c>
      <c r="E767" s="16"/>
      <c r="F767" s="16"/>
      <c r="G767" s="17"/>
      <c r="J767" s="12" t="str">
        <f>IF($A767="","",IF(COUNTIFS(Tasks!$B$5:$B$1000,$A767,Tasks!$A$5:$A$1000,"&lt;&gt;")=0,0,COUNTIFS(Tasks!$B$5:$B$1000,$A767,Tasks!$A$5:$A$1000,"&lt;&gt;",Tasks!$D$5:$D$1000,"Done")/COUNTIFS(Tasks!$B$5:$B$1000,$A767,Tasks!$A$5:$A$1000,"&lt;&gt;")))</f>
        <v/>
      </c>
      <c r="K767" s="11" t="str">
        <f>IF(OR($A767="",$F767=""),"",$F767-Overview!$B$3)</f>
        <v/>
      </c>
    </row>
    <row r="768" spans="4:11" x14ac:dyDescent="0.25">
      <c r="D768" s="18" t="str">
        <f>IF($C768="","",IFERROR(INDEX(Clients!$B$5:$B$1000,MATCH($C768,Clients!$A$5:$A$1000,0)),"Unknown client ID"))</f>
        <v/>
      </c>
      <c r="E768" s="16"/>
      <c r="F768" s="16"/>
      <c r="G768" s="17"/>
      <c r="J768" s="12" t="str">
        <f>IF($A768="","",IF(COUNTIFS(Tasks!$B$5:$B$1000,$A768,Tasks!$A$5:$A$1000,"&lt;&gt;")=0,0,COUNTIFS(Tasks!$B$5:$B$1000,$A768,Tasks!$A$5:$A$1000,"&lt;&gt;",Tasks!$D$5:$D$1000,"Done")/COUNTIFS(Tasks!$B$5:$B$1000,$A768,Tasks!$A$5:$A$1000,"&lt;&gt;")))</f>
        <v/>
      </c>
      <c r="K768" s="11" t="str">
        <f>IF(OR($A768="",$F768=""),"",$F768-Overview!$B$3)</f>
        <v/>
      </c>
    </row>
    <row r="769" spans="4:11" x14ac:dyDescent="0.25">
      <c r="D769" s="18" t="str">
        <f>IF($C769="","",IFERROR(INDEX(Clients!$B$5:$B$1000,MATCH($C769,Clients!$A$5:$A$1000,0)),"Unknown client ID"))</f>
        <v/>
      </c>
      <c r="E769" s="16"/>
      <c r="F769" s="16"/>
      <c r="G769" s="17"/>
      <c r="J769" s="12" t="str">
        <f>IF($A769="","",IF(COUNTIFS(Tasks!$B$5:$B$1000,$A769,Tasks!$A$5:$A$1000,"&lt;&gt;")=0,0,COUNTIFS(Tasks!$B$5:$B$1000,$A769,Tasks!$A$5:$A$1000,"&lt;&gt;",Tasks!$D$5:$D$1000,"Done")/COUNTIFS(Tasks!$B$5:$B$1000,$A769,Tasks!$A$5:$A$1000,"&lt;&gt;")))</f>
        <v/>
      </c>
      <c r="K769" s="11" t="str">
        <f>IF(OR($A769="",$F769=""),"",$F769-Overview!$B$3)</f>
        <v/>
      </c>
    </row>
    <row r="770" spans="4:11" x14ac:dyDescent="0.25">
      <c r="D770" s="18" t="str">
        <f>IF($C770="","",IFERROR(INDEX(Clients!$B$5:$B$1000,MATCH($C770,Clients!$A$5:$A$1000,0)),"Unknown client ID"))</f>
        <v/>
      </c>
      <c r="E770" s="16"/>
      <c r="F770" s="16"/>
      <c r="G770" s="17"/>
      <c r="J770" s="12" t="str">
        <f>IF($A770="","",IF(COUNTIFS(Tasks!$B$5:$B$1000,$A770,Tasks!$A$5:$A$1000,"&lt;&gt;")=0,0,COUNTIFS(Tasks!$B$5:$B$1000,$A770,Tasks!$A$5:$A$1000,"&lt;&gt;",Tasks!$D$5:$D$1000,"Done")/COUNTIFS(Tasks!$B$5:$B$1000,$A770,Tasks!$A$5:$A$1000,"&lt;&gt;")))</f>
        <v/>
      </c>
      <c r="K770" s="11" t="str">
        <f>IF(OR($A770="",$F770=""),"",$F770-Overview!$B$3)</f>
        <v/>
      </c>
    </row>
    <row r="771" spans="4:11" x14ac:dyDescent="0.25">
      <c r="D771" s="18" t="str">
        <f>IF($C771="","",IFERROR(INDEX(Clients!$B$5:$B$1000,MATCH($C771,Clients!$A$5:$A$1000,0)),"Unknown client ID"))</f>
        <v/>
      </c>
      <c r="E771" s="16"/>
      <c r="F771" s="16"/>
      <c r="G771" s="17"/>
      <c r="J771" s="12" t="str">
        <f>IF($A771="","",IF(COUNTIFS(Tasks!$B$5:$B$1000,$A771,Tasks!$A$5:$A$1000,"&lt;&gt;")=0,0,COUNTIFS(Tasks!$B$5:$B$1000,$A771,Tasks!$A$5:$A$1000,"&lt;&gt;",Tasks!$D$5:$D$1000,"Done")/COUNTIFS(Tasks!$B$5:$B$1000,$A771,Tasks!$A$5:$A$1000,"&lt;&gt;")))</f>
        <v/>
      </c>
      <c r="K771" s="11" t="str">
        <f>IF(OR($A771="",$F771=""),"",$F771-Overview!$B$3)</f>
        <v/>
      </c>
    </row>
    <row r="772" spans="4:11" x14ac:dyDescent="0.25">
      <c r="D772" s="18" t="str">
        <f>IF($C772="","",IFERROR(INDEX(Clients!$B$5:$B$1000,MATCH($C772,Clients!$A$5:$A$1000,0)),"Unknown client ID"))</f>
        <v/>
      </c>
      <c r="E772" s="16"/>
      <c r="F772" s="16"/>
      <c r="G772" s="17"/>
      <c r="J772" s="12" t="str">
        <f>IF($A772="","",IF(COUNTIFS(Tasks!$B$5:$B$1000,$A772,Tasks!$A$5:$A$1000,"&lt;&gt;")=0,0,COUNTIFS(Tasks!$B$5:$B$1000,$A772,Tasks!$A$5:$A$1000,"&lt;&gt;",Tasks!$D$5:$D$1000,"Done")/COUNTIFS(Tasks!$B$5:$B$1000,$A772,Tasks!$A$5:$A$1000,"&lt;&gt;")))</f>
        <v/>
      </c>
      <c r="K772" s="11" t="str">
        <f>IF(OR($A772="",$F772=""),"",$F772-Overview!$B$3)</f>
        <v/>
      </c>
    </row>
    <row r="773" spans="4:11" x14ac:dyDescent="0.25">
      <c r="D773" s="18" t="str">
        <f>IF($C773="","",IFERROR(INDEX(Clients!$B$5:$B$1000,MATCH($C773,Clients!$A$5:$A$1000,0)),"Unknown client ID"))</f>
        <v/>
      </c>
      <c r="E773" s="16"/>
      <c r="F773" s="16"/>
      <c r="G773" s="17"/>
      <c r="J773" s="12" t="str">
        <f>IF($A773="","",IF(COUNTIFS(Tasks!$B$5:$B$1000,$A773,Tasks!$A$5:$A$1000,"&lt;&gt;")=0,0,COUNTIFS(Tasks!$B$5:$B$1000,$A773,Tasks!$A$5:$A$1000,"&lt;&gt;",Tasks!$D$5:$D$1000,"Done")/COUNTIFS(Tasks!$B$5:$B$1000,$A773,Tasks!$A$5:$A$1000,"&lt;&gt;")))</f>
        <v/>
      </c>
      <c r="K773" s="11" t="str">
        <f>IF(OR($A773="",$F773=""),"",$F773-Overview!$B$3)</f>
        <v/>
      </c>
    </row>
    <row r="774" spans="4:11" x14ac:dyDescent="0.25">
      <c r="D774" s="18" t="str">
        <f>IF($C774="","",IFERROR(INDEX(Clients!$B$5:$B$1000,MATCH($C774,Clients!$A$5:$A$1000,0)),"Unknown client ID"))</f>
        <v/>
      </c>
      <c r="E774" s="16"/>
      <c r="F774" s="16"/>
      <c r="G774" s="17"/>
      <c r="J774" s="12" t="str">
        <f>IF($A774="","",IF(COUNTIFS(Tasks!$B$5:$B$1000,$A774,Tasks!$A$5:$A$1000,"&lt;&gt;")=0,0,COUNTIFS(Tasks!$B$5:$B$1000,$A774,Tasks!$A$5:$A$1000,"&lt;&gt;",Tasks!$D$5:$D$1000,"Done")/COUNTIFS(Tasks!$B$5:$B$1000,$A774,Tasks!$A$5:$A$1000,"&lt;&gt;")))</f>
        <v/>
      </c>
      <c r="K774" s="11" t="str">
        <f>IF(OR($A774="",$F774=""),"",$F774-Overview!$B$3)</f>
        <v/>
      </c>
    </row>
    <row r="775" spans="4:11" x14ac:dyDescent="0.25">
      <c r="D775" s="18" t="str">
        <f>IF($C775="","",IFERROR(INDEX(Clients!$B$5:$B$1000,MATCH($C775,Clients!$A$5:$A$1000,0)),"Unknown client ID"))</f>
        <v/>
      </c>
      <c r="E775" s="16"/>
      <c r="F775" s="16"/>
      <c r="G775" s="17"/>
      <c r="J775" s="12" t="str">
        <f>IF($A775="","",IF(COUNTIFS(Tasks!$B$5:$B$1000,$A775,Tasks!$A$5:$A$1000,"&lt;&gt;")=0,0,COUNTIFS(Tasks!$B$5:$B$1000,$A775,Tasks!$A$5:$A$1000,"&lt;&gt;",Tasks!$D$5:$D$1000,"Done")/COUNTIFS(Tasks!$B$5:$B$1000,$A775,Tasks!$A$5:$A$1000,"&lt;&gt;")))</f>
        <v/>
      </c>
      <c r="K775" s="11" t="str">
        <f>IF(OR($A775="",$F775=""),"",$F775-Overview!$B$3)</f>
        <v/>
      </c>
    </row>
    <row r="776" spans="4:11" x14ac:dyDescent="0.25">
      <c r="D776" s="18" t="str">
        <f>IF($C776="","",IFERROR(INDEX(Clients!$B$5:$B$1000,MATCH($C776,Clients!$A$5:$A$1000,0)),"Unknown client ID"))</f>
        <v/>
      </c>
      <c r="E776" s="16"/>
      <c r="F776" s="16"/>
      <c r="G776" s="17"/>
      <c r="J776" s="12" t="str">
        <f>IF($A776="","",IF(COUNTIFS(Tasks!$B$5:$B$1000,$A776,Tasks!$A$5:$A$1000,"&lt;&gt;")=0,0,COUNTIFS(Tasks!$B$5:$B$1000,$A776,Tasks!$A$5:$A$1000,"&lt;&gt;",Tasks!$D$5:$D$1000,"Done")/COUNTIFS(Tasks!$B$5:$B$1000,$A776,Tasks!$A$5:$A$1000,"&lt;&gt;")))</f>
        <v/>
      </c>
      <c r="K776" s="11" t="str">
        <f>IF(OR($A776="",$F776=""),"",$F776-Overview!$B$3)</f>
        <v/>
      </c>
    </row>
    <row r="777" spans="4:11" x14ac:dyDescent="0.25">
      <c r="D777" s="18" t="str">
        <f>IF($C777="","",IFERROR(INDEX(Clients!$B$5:$B$1000,MATCH($C777,Clients!$A$5:$A$1000,0)),"Unknown client ID"))</f>
        <v/>
      </c>
      <c r="E777" s="16"/>
      <c r="F777" s="16"/>
      <c r="G777" s="17"/>
      <c r="J777" s="12" t="str">
        <f>IF($A777="","",IF(COUNTIFS(Tasks!$B$5:$B$1000,$A777,Tasks!$A$5:$A$1000,"&lt;&gt;")=0,0,COUNTIFS(Tasks!$B$5:$B$1000,$A777,Tasks!$A$5:$A$1000,"&lt;&gt;",Tasks!$D$5:$D$1000,"Done")/COUNTIFS(Tasks!$B$5:$B$1000,$A777,Tasks!$A$5:$A$1000,"&lt;&gt;")))</f>
        <v/>
      </c>
      <c r="K777" s="11" t="str">
        <f>IF(OR($A777="",$F777=""),"",$F777-Overview!$B$3)</f>
        <v/>
      </c>
    </row>
    <row r="778" spans="4:11" x14ac:dyDescent="0.25">
      <c r="D778" s="18" t="str">
        <f>IF($C778="","",IFERROR(INDEX(Clients!$B$5:$B$1000,MATCH($C778,Clients!$A$5:$A$1000,0)),"Unknown client ID"))</f>
        <v/>
      </c>
      <c r="E778" s="16"/>
      <c r="F778" s="16"/>
      <c r="G778" s="17"/>
      <c r="J778" s="12" t="str">
        <f>IF($A778="","",IF(COUNTIFS(Tasks!$B$5:$B$1000,$A778,Tasks!$A$5:$A$1000,"&lt;&gt;")=0,0,COUNTIFS(Tasks!$B$5:$B$1000,$A778,Tasks!$A$5:$A$1000,"&lt;&gt;",Tasks!$D$5:$D$1000,"Done")/COUNTIFS(Tasks!$B$5:$B$1000,$A778,Tasks!$A$5:$A$1000,"&lt;&gt;")))</f>
        <v/>
      </c>
      <c r="K778" s="11" t="str">
        <f>IF(OR($A778="",$F778=""),"",$F778-Overview!$B$3)</f>
        <v/>
      </c>
    </row>
    <row r="779" spans="4:11" x14ac:dyDescent="0.25">
      <c r="D779" s="18" t="str">
        <f>IF($C779="","",IFERROR(INDEX(Clients!$B$5:$B$1000,MATCH($C779,Clients!$A$5:$A$1000,0)),"Unknown client ID"))</f>
        <v/>
      </c>
      <c r="E779" s="16"/>
      <c r="F779" s="16"/>
      <c r="G779" s="17"/>
      <c r="J779" s="12" t="str">
        <f>IF($A779="","",IF(COUNTIFS(Tasks!$B$5:$B$1000,$A779,Tasks!$A$5:$A$1000,"&lt;&gt;")=0,0,COUNTIFS(Tasks!$B$5:$B$1000,$A779,Tasks!$A$5:$A$1000,"&lt;&gt;",Tasks!$D$5:$D$1000,"Done")/COUNTIFS(Tasks!$B$5:$B$1000,$A779,Tasks!$A$5:$A$1000,"&lt;&gt;")))</f>
        <v/>
      </c>
      <c r="K779" s="11" t="str">
        <f>IF(OR($A779="",$F779=""),"",$F779-Overview!$B$3)</f>
        <v/>
      </c>
    </row>
    <row r="780" spans="4:11" x14ac:dyDescent="0.25">
      <c r="D780" s="18" t="str">
        <f>IF($C780="","",IFERROR(INDEX(Clients!$B$5:$B$1000,MATCH($C780,Clients!$A$5:$A$1000,0)),"Unknown client ID"))</f>
        <v/>
      </c>
      <c r="E780" s="16"/>
      <c r="F780" s="16"/>
      <c r="G780" s="17"/>
      <c r="J780" s="12" t="str">
        <f>IF($A780="","",IF(COUNTIFS(Tasks!$B$5:$B$1000,$A780,Tasks!$A$5:$A$1000,"&lt;&gt;")=0,0,COUNTIFS(Tasks!$B$5:$B$1000,$A780,Tasks!$A$5:$A$1000,"&lt;&gt;",Tasks!$D$5:$D$1000,"Done")/COUNTIFS(Tasks!$B$5:$B$1000,$A780,Tasks!$A$5:$A$1000,"&lt;&gt;")))</f>
        <v/>
      </c>
      <c r="K780" s="11" t="str">
        <f>IF(OR($A780="",$F780=""),"",$F780-Overview!$B$3)</f>
        <v/>
      </c>
    </row>
    <row r="781" spans="4:11" x14ac:dyDescent="0.25">
      <c r="D781" s="18" t="str">
        <f>IF($C781="","",IFERROR(INDEX(Clients!$B$5:$B$1000,MATCH($C781,Clients!$A$5:$A$1000,0)),"Unknown client ID"))</f>
        <v/>
      </c>
      <c r="E781" s="16"/>
      <c r="F781" s="16"/>
      <c r="G781" s="17"/>
      <c r="J781" s="12" t="str">
        <f>IF($A781="","",IF(COUNTIFS(Tasks!$B$5:$B$1000,$A781,Tasks!$A$5:$A$1000,"&lt;&gt;")=0,0,COUNTIFS(Tasks!$B$5:$B$1000,$A781,Tasks!$A$5:$A$1000,"&lt;&gt;",Tasks!$D$5:$D$1000,"Done")/COUNTIFS(Tasks!$B$5:$B$1000,$A781,Tasks!$A$5:$A$1000,"&lt;&gt;")))</f>
        <v/>
      </c>
      <c r="K781" s="11" t="str">
        <f>IF(OR($A781="",$F781=""),"",$F781-Overview!$B$3)</f>
        <v/>
      </c>
    </row>
    <row r="782" spans="4:11" x14ac:dyDescent="0.25">
      <c r="D782" s="18" t="str">
        <f>IF($C782="","",IFERROR(INDEX(Clients!$B$5:$B$1000,MATCH($C782,Clients!$A$5:$A$1000,0)),"Unknown client ID"))</f>
        <v/>
      </c>
      <c r="E782" s="16"/>
      <c r="F782" s="16"/>
      <c r="G782" s="17"/>
      <c r="J782" s="12" t="str">
        <f>IF($A782="","",IF(COUNTIFS(Tasks!$B$5:$B$1000,$A782,Tasks!$A$5:$A$1000,"&lt;&gt;")=0,0,COUNTIFS(Tasks!$B$5:$B$1000,$A782,Tasks!$A$5:$A$1000,"&lt;&gt;",Tasks!$D$5:$D$1000,"Done")/COUNTIFS(Tasks!$B$5:$B$1000,$A782,Tasks!$A$5:$A$1000,"&lt;&gt;")))</f>
        <v/>
      </c>
      <c r="K782" s="11" t="str">
        <f>IF(OR($A782="",$F782=""),"",$F782-Overview!$B$3)</f>
        <v/>
      </c>
    </row>
    <row r="783" spans="4:11" x14ac:dyDescent="0.25">
      <c r="D783" s="18" t="str">
        <f>IF($C783="","",IFERROR(INDEX(Clients!$B$5:$B$1000,MATCH($C783,Clients!$A$5:$A$1000,0)),"Unknown client ID"))</f>
        <v/>
      </c>
      <c r="E783" s="16"/>
      <c r="F783" s="16"/>
      <c r="G783" s="17"/>
      <c r="J783" s="12" t="str">
        <f>IF($A783="","",IF(COUNTIFS(Tasks!$B$5:$B$1000,$A783,Tasks!$A$5:$A$1000,"&lt;&gt;")=0,0,COUNTIFS(Tasks!$B$5:$B$1000,$A783,Tasks!$A$5:$A$1000,"&lt;&gt;",Tasks!$D$5:$D$1000,"Done")/COUNTIFS(Tasks!$B$5:$B$1000,$A783,Tasks!$A$5:$A$1000,"&lt;&gt;")))</f>
        <v/>
      </c>
      <c r="K783" s="11" t="str">
        <f>IF(OR($A783="",$F783=""),"",$F783-Overview!$B$3)</f>
        <v/>
      </c>
    </row>
    <row r="784" spans="4:11" x14ac:dyDescent="0.25">
      <c r="D784" s="18" t="str">
        <f>IF($C784="","",IFERROR(INDEX(Clients!$B$5:$B$1000,MATCH($C784,Clients!$A$5:$A$1000,0)),"Unknown client ID"))</f>
        <v/>
      </c>
      <c r="E784" s="16"/>
      <c r="F784" s="16"/>
      <c r="G784" s="17"/>
      <c r="J784" s="12" t="str">
        <f>IF($A784="","",IF(COUNTIFS(Tasks!$B$5:$B$1000,$A784,Tasks!$A$5:$A$1000,"&lt;&gt;")=0,0,COUNTIFS(Tasks!$B$5:$B$1000,$A784,Tasks!$A$5:$A$1000,"&lt;&gt;",Tasks!$D$5:$D$1000,"Done")/COUNTIFS(Tasks!$B$5:$B$1000,$A784,Tasks!$A$5:$A$1000,"&lt;&gt;")))</f>
        <v/>
      </c>
      <c r="K784" s="11" t="str">
        <f>IF(OR($A784="",$F784=""),"",$F784-Overview!$B$3)</f>
        <v/>
      </c>
    </row>
    <row r="785" spans="4:11" x14ac:dyDescent="0.25">
      <c r="D785" s="18" t="str">
        <f>IF($C785="","",IFERROR(INDEX(Clients!$B$5:$B$1000,MATCH($C785,Clients!$A$5:$A$1000,0)),"Unknown client ID"))</f>
        <v/>
      </c>
      <c r="E785" s="16"/>
      <c r="F785" s="16"/>
      <c r="G785" s="17"/>
      <c r="J785" s="12" t="str">
        <f>IF($A785="","",IF(COUNTIFS(Tasks!$B$5:$B$1000,$A785,Tasks!$A$5:$A$1000,"&lt;&gt;")=0,0,COUNTIFS(Tasks!$B$5:$B$1000,$A785,Tasks!$A$5:$A$1000,"&lt;&gt;",Tasks!$D$5:$D$1000,"Done")/COUNTIFS(Tasks!$B$5:$B$1000,$A785,Tasks!$A$5:$A$1000,"&lt;&gt;")))</f>
        <v/>
      </c>
      <c r="K785" s="11" t="str">
        <f>IF(OR($A785="",$F785=""),"",$F785-Overview!$B$3)</f>
        <v/>
      </c>
    </row>
    <row r="786" spans="4:11" x14ac:dyDescent="0.25">
      <c r="D786" s="18" t="str">
        <f>IF($C786="","",IFERROR(INDEX(Clients!$B$5:$B$1000,MATCH($C786,Clients!$A$5:$A$1000,0)),"Unknown client ID"))</f>
        <v/>
      </c>
      <c r="E786" s="16"/>
      <c r="F786" s="16"/>
      <c r="G786" s="17"/>
      <c r="J786" s="12" t="str">
        <f>IF($A786="","",IF(COUNTIFS(Tasks!$B$5:$B$1000,$A786,Tasks!$A$5:$A$1000,"&lt;&gt;")=0,0,COUNTIFS(Tasks!$B$5:$B$1000,$A786,Tasks!$A$5:$A$1000,"&lt;&gt;",Tasks!$D$5:$D$1000,"Done")/COUNTIFS(Tasks!$B$5:$B$1000,$A786,Tasks!$A$5:$A$1000,"&lt;&gt;")))</f>
        <v/>
      </c>
      <c r="K786" s="11" t="str">
        <f>IF(OR($A786="",$F786=""),"",$F786-Overview!$B$3)</f>
        <v/>
      </c>
    </row>
    <row r="787" spans="4:11" x14ac:dyDescent="0.25">
      <c r="D787" s="18" t="str">
        <f>IF($C787="","",IFERROR(INDEX(Clients!$B$5:$B$1000,MATCH($C787,Clients!$A$5:$A$1000,0)),"Unknown client ID"))</f>
        <v/>
      </c>
      <c r="E787" s="16"/>
      <c r="F787" s="16"/>
      <c r="G787" s="17"/>
      <c r="J787" s="12" t="str">
        <f>IF($A787="","",IF(COUNTIFS(Tasks!$B$5:$B$1000,$A787,Tasks!$A$5:$A$1000,"&lt;&gt;")=0,0,COUNTIFS(Tasks!$B$5:$B$1000,$A787,Tasks!$A$5:$A$1000,"&lt;&gt;",Tasks!$D$5:$D$1000,"Done")/COUNTIFS(Tasks!$B$5:$B$1000,$A787,Tasks!$A$5:$A$1000,"&lt;&gt;")))</f>
        <v/>
      </c>
      <c r="K787" s="11" t="str">
        <f>IF(OR($A787="",$F787=""),"",$F787-Overview!$B$3)</f>
        <v/>
      </c>
    </row>
    <row r="788" spans="4:11" x14ac:dyDescent="0.25">
      <c r="D788" s="18" t="str">
        <f>IF($C788="","",IFERROR(INDEX(Clients!$B$5:$B$1000,MATCH($C788,Clients!$A$5:$A$1000,0)),"Unknown client ID"))</f>
        <v/>
      </c>
      <c r="E788" s="16"/>
      <c r="F788" s="16"/>
      <c r="G788" s="17"/>
      <c r="J788" s="12" t="str">
        <f>IF($A788="","",IF(COUNTIFS(Tasks!$B$5:$B$1000,$A788,Tasks!$A$5:$A$1000,"&lt;&gt;")=0,0,COUNTIFS(Tasks!$B$5:$B$1000,$A788,Tasks!$A$5:$A$1000,"&lt;&gt;",Tasks!$D$5:$D$1000,"Done")/COUNTIFS(Tasks!$B$5:$B$1000,$A788,Tasks!$A$5:$A$1000,"&lt;&gt;")))</f>
        <v/>
      </c>
      <c r="K788" s="11" t="str">
        <f>IF(OR($A788="",$F788=""),"",$F788-Overview!$B$3)</f>
        <v/>
      </c>
    </row>
    <row r="789" spans="4:11" x14ac:dyDescent="0.25">
      <c r="D789" s="18" t="str">
        <f>IF($C789="","",IFERROR(INDEX(Clients!$B$5:$B$1000,MATCH($C789,Clients!$A$5:$A$1000,0)),"Unknown client ID"))</f>
        <v/>
      </c>
      <c r="E789" s="16"/>
      <c r="F789" s="16"/>
      <c r="G789" s="17"/>
      <c r="J789" s="12" t="str">
        <f>IF($A789="","",IF(COUNTIFS(Tasks!$B$5:$B$1000,$A789,Tasks!$A$5:$A$1000,"&lt;&gt;")=0,0,COUNTIFS(Tasks!$B$5:$B$1000,$A789,Tasks!$A$5:$A$1000,"&lt;&gt;",Tasks!$D$5:$D$1000,"Done")/COUNTIFS(Tasks!$B$5:$B$1000,$A789,Tasks!$A$5:$A$1000,"&lt;&gt;")))</f>
        <v/>
      </c>
      <c r="K789" s="11" t="str">
        <f>IF(OR($A789="",$F789=""),"",$F789-Overview!$B$3)</f>
        <v/>
      </c>
    </row>
    <row r="790" spans="4:11" x14ac:dyDescent="0.25">
      <c r="D790" s="18" t="str">
        <f>IF($C790="","",IFERROR(INDEX(Clients!$B$5:$B$1000,MATCH($C790,Clients!$A$5:$A$1000,0)),"Unknown client ID"))</f>
        <v/>
      </c>
      <c r="E790" s="16"/>
      <c r="F790" s="16"/>
      <c r="G790" s="17"/>
      <c r="J790" s="12" t="str">
        <f>IF($A790="","",IF(COUNTIFS(Tasks!$B$5:$B$1000,$A790,Tasks!$A$5:$A$1000,"&lt;&gt;")=0,0,COUNTIFS(Tasks!$B$5:$B$1000,$A790,Tasks!$A$5:$A$1000,"&lt;&gt;",Tasks!$D$5:$D$1000,"Done")/COUNTIFS(Tasks!$B$5:$B$1000,$A790,Tasks!$A$5:$A$1000,"&lt;&gt;")))</f>
        <v/>
      </c>
      <c r="K790" s="11" t="str">
        <f>IF(OR($A790="",$F790=""),"",$F790-Overview!$B$3)</f>
        <v/>
      </c>
    </row>
    <row r="791" spans="4:11" x14ac:dyDescent="0.25">
      <c r="D791" s="18" t="str">
        <f>IF($C791="","",IFERROR(INDEX(Clients!$B$5:$B$1000,MATCH($C791,Clients!$A$5:$A$1000,0)),"Unknown client ID"))</f>
        <v/>
      </c>
      <c r="E791" s="16"/>
      <c r="F791" s="16"/>
      <c r="G791" s="17"/>
      <c r="J791" s="12" t="str">
        <f>IF($A791="","",IF(COUNTIFS(Tasks!$B$5:$B$1000,$A791,Tasks!$A$5:$A$1000,"&lt;&gt;")=0,0,COUNTIFS(Tasks!$B$5:$B$1000,$A791,Tasks!$A$5:$A$1000,"&lt;&gt;",Tasks!$D$5:$D$1000,"Done")/COUNTIFS(Tasks!$B$5:$B$1000,$A791,Tasks!$A$5:$A$1000,"&lt;&gt;")))</f>
        <v/>
      </c>
      <c r="K791" s="11" t="str">
        <f>IF(OR($A791="",$F791=""),"",$F791-Overview!$B$3)</f>
        <v/>
      </c>
    </row>
    <row r="792" spans="4:11" x14ac:dyDescent="0.25">
      <c r="D792" s="18" t="str">
        <f>IF($C792="","",IFERROR(INDEX(Clients!$B$5:$B$1000,MATCH($C792,Clients!$A$5:$A$1000,0)),"Unknown client ID"))</f>
        <v/>
      </c>
      <c r="E792" s="16"/>
      <c r="F792" s="16"/>
      <c r="G792" s="17"/>
      <c r="J792" s="12" t="str">
        <f>IF($A792="","",IF(COUNTIFS(Tasks!$B$5:$B$1000,$A792,Tasks!$A$5:$A$1000,"&lt;&gt;")=0,0,COUNTIFS(Tasks!$B$5:$B$1000,$A792,Tasks!$A$5:$A$1000,"&lt;&gt;",Tasks!$D$5:$D$1000,"Done")/COUNTIFS(Tasks!$B$5:$B$1000,$A792,Tasks!$A$5:$A$1000,"&lt;&gt;")))</f>
        <v/>
      </c>
      <c r="K792" s="11" t="str">
        <f>IF(OR($A792="",$F792=""),"",$F792-Overview!$B$3)</f>
        <v/>
      </c>
    </row>
    <row r="793" spans="4:11" x14ac:dyDescent="0.25">
      <c r="D793" s="18" t="str">
        <f>IF($C793="","",IFERROR(INDEX(Clients!$B$5:$B$1000,MATCH($C793,Clients!$A$5:$A$1000,0)),"Unknown client ID"))</f>
        <v/>
      </c>
      <c r="E793" s="16"/>
      <c r="F793" s="16"/>
      <c r="G793" s="17"/>
      <c r="J793" s="12" t="str">
        <f>IF($A793="","",IF(COUNTIFS(Tasks!$B$5:$B$1000,$A793,Tasks!$A$5:$A$1000,"&lt;&gt;")=0,0,COUNTIFS(Tasks!$B$5:$B$1000,$A793,Tasks!$A$5:$A$1000,"&lt;&gt;",Tasks!$D$5:$D$1000,"Done")/COUNTIFS(Tasks!$B$5:$B$1000,$A793,Tasks!$A$5:$A$1000,"&lt;&gt;")))</f>
        <v/>
      </c>
      <c r="K793" s="11" t="str">
        <f>IF(OR($A793="",$F793=""),"",$F793-Overview!$B$3)</f>
        <v/>
      </c>
    </row>
    <row r="794" spans="4:11" x14ac:dyDescent="0.25">
      <c r="D794" s="18" t="str">
        <f>IF($C794="","",IFERROR(INDEX(Clients!$B$5:$B$1000,MATCH($C794,Clients!$A$5:$A$1000,0)),"Unknown client ID"))</f>
        <v/>
      </c>
      <c r="E794" s="16"/>
      <c r="F794" s="16"/>
      <c r="G794" s="17"/>
      <c r="J794" s="12" t="str">
        <f>IF($A794="","",IF(COUNTIFS(Tasks!$B$5:$B$1000,$A794,Tasks!$A$5:$A$1000,"&lt;&gt;")=0,0,COUNTIFS(Tasks!$B$5:$B$1000,$A794,Tasks!$A$5:$A$1000,"&lt;&gt;",Tasks!$D$5:$D$1000,"Done")/COUNTIFS(Tasks!$B$5:$B$1000,$A794,Tasks!$A$5:$A$1000,"&lt;&gt;")))</f>
        <v/>
      </c>
      <c r="K794" s="11" t="str">
        <f>IF(OR($A794="",$F794=""),"",$F794-Overview!$B$3)</f>
        <v/>
      </c>
    </row>
    <row r="795" spans="4:11" x14ac:dyDescent="0.25">
      <c r="D795" s="18" t="str">
        <f>IF($C795="","",IFERROR(INDEX(Clients!$B$5:$B$1000,MATCH($C795,Clients!$A$5:$A$1000,0)),"Unknown client ID"))</f>
        <v/>
      </c>
      <c r="E795" s="16"/>
      <c r="F795" s="16"/>
      <c r="G795" s="17"/>
      <c r="J795" s="12" t="str">
        <f>IF($A795="","",IF(COUNTIFS(Tasks!$B$5:$B$1000,$A795,Tasks!$A$5:$A$1000,"&lt;&gt;")=0,0,COUNTIFS(Tasks!$B$5:$B$1000,$A795,Tasks!$A$5:$A$1000,"&lt;&gt;",Tasks!$D$5:$D$1000,"Done")/COUNTIFS(Tasks!$B$5:$B$1000,$A795,Tasks!$A$5:$A$1000,"&lt;&gt;")))</f>
        <v/>
      </c>
      <c r="K795" s="11" t="str">
        <f>IF(OR($A795="",$F795=""),"",$F795-Overview!$B$3)</f>
        <v/>
      </c>
    </row>
    <row r="796" spans="4:11" x14ac:dyDescent="0.25">
      <c r="D796" s="18" t="str">
        <f>IF($C796="","",IFERROR(INDEX(Clients!$B$5:$B$1000,MATCH($C796,Clients!$A$5:$A$1000,0)),"Unknown client ID"))</f>
        <v/>
      </c>
      <c r="E796" s="16"/>
      <c r="F796" s="16"/>
      <c r="G796" s="17"/>
      <c r="J796" s="12" t="str">
        <f>IF($A796="","",IF(COUNTIFS(Tasks!$B$5:$B$1000,$A796,Tasks!$A$5:$A$1000,"&lt;&gt;")=0,0,COUNTIFS(Tasks!$B$5:$B$1000,$A796,Tasks!$A$5:$A$1000,"&lt;&gt;",Tasks!$D$5:$D$1000,"Done")/COUNTIFS(Tasks!$B$5:$B$1000,$A796,Tasks!$A$5:$A$1000,"&lt;&gt;")))</f>
        <v/>
      </c>
      <c r="K796" s="11" t="str">
        <f>IF(OR($A796="",$F796=""),"",$F796-Overview!$B$3)</f>
        <v/>
      </c>
    </row>
    <row r="797" spans="4:11" x14ac:dyDescent="0.25">
      <c r="D797" s="18" t="str">
        <f>IF($C797="","",IFERROR(INDEX(Clients!$B$5:$B$1000,MATCH($C797,Clients!$A$5:$A$1000,0)),"Unknown client ID"))</f>
        <v/>
      </c>
      <c r="E797" s="16"/>
      <c r="F797" s="16"/>
      <c r="G797" s="17"/>
      <c r="J797" s="12" t="str">
        <f>IF($A797="","",IF(COUNTIFS(Tasks!$B$5:$B$1000,$A797,Tasks!$A$5:$A$1000,"&lt;&gt;")=0,0,COUNTIFS(Tasks!$B$5:$B$1000,$A797,Tasks!$A$5:$A$1000,"&lt;&gt;",Tasks!$D$5:$D$1000,"Done")/COUNTIFS(Tasks!$B$5:$B$1000,$A797,Tasks!$A$5:$A$1000,"&lt;&gt;")))</f>
        <v/>
      </c>
      <c r="K797" s="11" t="str">
        <f>IF(OR($A797="",$F797=""),"",$F797-Overview!$B$3)</f>
        <v/>
      </c>
    </row>
    <row r="798" spans="4:11" x14ac:dyDescent="0.25">
      <c r="D798" s="18" t="str">
        <f>IF($C798="","",IFERROR(INDEX(Clients!$B$5:$B$1000,MATCH($C798,Clients!$A$5:$A$1000,0)),"Unknown client ID"))</f>
        <v/>
      </c>
      <c r="E798" s="16"/>
      <c r="F798" s="16"/>
      <c r="G798" s="17"/>
      <c r="J798" s="12" t="str">
        <f>IF($A798="","",IF(COUNTIFS(Tasks!$B$5:$B$1000,$A798,Tasks!$A$5:$A$1000,"&lt;&gt;")=0,0,COUNTIFS(Tasks!$B$5:$B$1000,$A798,Tasks!$A$5:$A$1000,"&lt;&gt;",Tasks!$D$5:$D$1000,"Done")/COUNTIFS(Tasks!$B$5:$B$1000,$A798,Tasks!$A$5:$A$1000,"&lt;&gt;")))</f>
        <v/>
      </c>
      <c r="K798" s="11" t="str">
        <f>IF(OR($A798="",$F798=""),"",$F798-Overview!$B$3)</f>
        <v/>
      </c>
    </row>
    <row r="799" spans="4:11" x14ac:dyDescent="0.25">
      <c r="D799" s="18" t="str">
        <f>IF($C799="","",IFERROR(INDEX(Clients!$B$5:$B$1000,MATCH($C799,Clients!$A$5:$A$1000,0)),"Unknown client ID"))</f>
        <v/>
      </c>
      <c r="E799" s="16"/>
      <c r="F799" s="16"/>
      <c r="G799" s="17"/>
      <c r="J799" s="12" t="str">
        <f>IF($A799="","",IF(COUNTIFS(Tasks!$B$5:$B$1000,$A799,Tasks!$A$5:$A$1000,"&lt;&gt;")=0,0,COUNTIFS(Tasks!$B$5:$B$1000,$A799,Tasks!$A$5:$A$1000,"&lt;&gt;",Tasks!$D$5:$D$1000,"Done")/COUNTIFS(Tasks!$B$5:$B$1000,$A799,Tasks!$A$5:$A$1000,"&lt;&gt;")))</f>
        <v/>
      </c>
      <c r="K799" s="11" t="str">
        <f>IF(OR($A799="",$F799=""),"",$F799-Overview!$B$3)</f>
        <v/>
      </c>
    </row>
    <row r="800" spans="4:11" x14ac:dyDescent="0.25">
      <c r="D800" s="18" t="str">
        <f>IF($C800="","",IFERROR(INDEX(Clients!$B$5:$B$1000,MATCH($C800,Clients!$A$5:$A$1000,0)),"Unknown client ID"))</f>
        <v/>
      </c>
      <c r="E800" s="16"/>
      <c r="F800" s="16"/>
      <c r="G800" s="17"/>
      <c r="J800" s="12" t="str">
        <f>IF($A800="","",IF(COUNTIFS(Tasks!$B$5:$B$1000,$A800,Tasks!$A$5:$A$1000,"&lt;&gt;")=0,0,COUNTIFS(Tasks!$B$5:$B$1000,$A800,Tasks!$A$5:$A$1000,"&lt;&gt;",Tasks!$D$5:$D$1000,"Done")/COUNTIFS(Tasks!$B$5:$B$1000,$A800,Tasks!$A$5:$A$1000,"&lt;&gt;")))</f>
        <v/>
      </c>
      <c r="K800" s="11" t="str">
        <f>IF(OR($A800="",$F800=""),"",$F800-Overview!$B$3)</f>
        <v/>
      </c>
    </row>
    <row r="801" spans="4:11" x14ac:dyDescent="0.25">
      <c r="D801" s="18" t="str">
        <f>IF($C801="","",IFERROR(INDEX(Clients!$B$5:$B$1000,MATCH($C801,Clients!$A$5:$A$1000,0)),"Unknown client ID"))</f>
        <v/>
      </c>
      <c r="E801" s="16"/>
      <c r="F801" s="16"/>
      <c r="G801" s="17"/>
      <c r="J801" s="12" t="str">
        <f>IF($A801="","",IF(COUNTIFS(Tasks!$B$5:$B$1000,$A801,Tasks!$A$5:$A$1000,"&lt;&gt;")=0,0,COUNTIFS(Tasks!$B$5:$B$1000,$A801,Tasks!$A$5:$A$1000,"&lt;&gt;",Tasks!$D$5:$D$1000,"Done")/COUNTIFS(Tasks!$B$5:$B$1000,$A801,Tasks!$A$5:$A$1000,"&lt;&gt;")))</f>
        <v/>
      </c>
      <c r="K801" s="11" t="str">
        <f>IF(OR($A801="",$F801=""),"",$F801-Overview!$B$3)</f>
        <v/>
      </c>
    </row>
    <row r="802" spans="4:11" x14ac:dyDescent="0.25">
      <c r="D802" s="18" t="str">
        <f>IF($C802="","",IFERROR(INDEX(Clients!$B$5:$B$1000,MATCH($C802,Clients!$A$5:$A$1000,0)),"Unknown client ID"))</f>
        <v/>
      </c>
      <c r="E802" s="16"/>
      <c r="F802" s="16"/>
      <c r="G802" s="17"/>
      <c r="J802" s="12" t="str">
        <f>IF($A802="","",IF(COUNTIFS(Tasks!$B$5:$B$1000,$A802,Tasks!$A$5:$A$1000,"&lt;&gt;")=0,0,COUNTIFS(Tasks!$B$5:$B$1000,$A802,Tasks!$A$5:$A$1000,"&lt;&gt;",Tasks!$D$5:$D$1000,"Done")/COUNTIFS(Tasks!$B$5:$B$1000,$A802,Tasks!$A$5:$A$1000,"&lt;&gt;")))</f>
        <v/>
      </c>
      <c r="K802" s="11" t="str">
        <f>IF(OR($A802="",$F802=""),"",$F802-Overview!$B$3)</f>
        <v/>
      </c>
    </row>
    <row r="803" spans="4:11" x14ac:dyDescent="0.25">
      <c r="D803" s="18" t="str">
        <f>IF($C803="","",IFERROR(INDEX(Clients!$B$5:$B$1000,MATCH($C803,Clients!$A$5:$A$1000,0)),"Unknown client ID"))</f>
        <v/>
      </c>
      <c r="E803" s="16"/>
      <c r="F803" s="16"/>
      <c r="G803" s="17"/>
      <c r="J803" s="12" t="str">
        <f>IF($A803="","",IF(COUNTIFS(Tasks!$B$5:$B$1000,$A803,Tasks!$A$5:$A$1000,"&lt;&gt;")=0,0,COUNTIFS(Tasks!$B$5:$B$1000,$A803,Tasks!$A$5:$A$1000,"&lt;&gt;",Tasks!$D$5:$D$1000,"Done")/COUNTIFS(Tasks!$B$5:$B$1000,$A803,Tasks!$A$5:$A$1000,"&lt;&gt;")))</f>
        <v/>
      </c>
      <c r="K803" s="11" t="str">
        <f>IF(OR($A803="",$F803=""),"",$F803-Overview!$B$3)</f>
        <v/>
      </c>
    </row>
    <row r="804" spans="4:11" x14ac:dyDescent="0.25">
      <c r="D804" s="18" t="str">
        <f>IF($C804="","",IFERROR(INDEX(Clients!$B$5:$B$1000,MATCH($C804,Clients!$A$5:$A$1000,0)),"Unknown client ID"))</f>
        <v/>
      </c>
      <c r="E804" s="16"/>
      <c r="F804" s="16"/>
      <c r="G804" s="17"/>
      <c r="J804" s="12" t="str">
        <f>IF($A804="","",IF(COUNTIFS(Tasks!$B$5:$B$1000,$A804,Tasks!$A$5:$A$1000,"&lt;&gt;")=0,0,COUNTIFS(Tasks!$B$5:$B$1000,$A804,Tasks!$A$5:$A$1000,"&lt;&gt;",Tasks!$D$5:$D$1000,"Done")/COUNTIFS(Tasks!$B$5:$B$1000,$A804,Tasks!$A$5:$A$1000,"&lt;&gt;")))</f>
        <v/>
      </c>
      <c r="K804" s="11" t="str">
        <f>IF(OR($A804="",$F804=""),"",$F804-Overview!$B$3)</f>
        <v/>
      </c>
    </row>
    <row r="805" spans="4:11" x14ac:dyDescent="0.25">
      <c r="D805" s="18" t="str">
        <f>IF($C805="","",IFERROR(INDEX(Clients!$B$5:$B$1000,MATCH($C805,Clients!$A$5:$A$1000,0)),"Unknown client ID"))</f>
        <v/>
      </c>
      <c r="E805" s="16"/>
      <c r="F805" s="16"/>
      <c r="G805" s="17"/>
      <c r="J805" s="12" t="str">
        <f>IF($A805="","",IF(COUNTIFS(Tasks!$B$5:$B$1000,$A805,Tasks!$A$5:$A$1000,"&lt;&gt;")=0,0,COUNTIFS(Tasks!$B$5:$B$1000,$A805,Tasks!$A$5:$A$1000,"&lt;&gt;",Tasks!$D$5:$D$1000,"Done")/COUNTIFS(Tasks!$B$5:$B$1000,$A805,Tasks!$A$5:$A$1000,"&lt;&gt;")))</f>
        <v/>
      </c>
      <c r="K805" s="11" t="str">
        <f>IF(OR($A805="",$F805=""),"",$F805-Overview!$B$3)</f>
        <v/>
      </c>
    </row>
    <row r="806" spans="4:11" x14ac:dyDescent="0.25">
      <c r="D806" s="18" t="str">
        <f>IF($C806="","",IFERROR(INDEX(Clients!$B$5:$B$1000,MATCH($C806,Clients!$A$5:$A$1000,0)),"Unknown client ID"))</f>
        <v/>
      </c>
      <c r="E806" s="16"/>
      <c r="F806" s="16"/>
      <c r="G806" s="17"/>
      <c r="J806" s="12" t="str">
        <f>IF($A806="","",IF(COUNTIFS(Tasks!$B$5:$B$1000,$A806,Tasks!$A$5:$A$1000,"&lt;&gt;")=0,0,COUNTIFS(Tasks!$B$5:$B$1000,$A806,Tasks!$A$5:$A$1000,"&lt;&gt;",Tasks!$D$5:$D$1000,"Done")/COUNTIFS(Tasks!$B$5:$B$1000,$A806,Tasks!$A$5:$A$1000,"&lt;&gt;")))</f>
        <v/>
      </c>
      <c r="K806" s="11" t="str">
        <f>IF(OR($A806="",$F806=""),"",$F806-Overview!$B$3)</f>
        <v/>
      </c>
    </row>
    <row r="807" spans="4:11" x14ac:dyDescent="0.25">
      <c r="D807" s="18" t="str">
        <f>IF($C807="","",IFERROR(INDEX(Clients!$B$5:$B$1000,MATCH($C807,Clients!$A$5:$A$1000,0)),"Unknown client ID"))</f>
        <v/>
      </c>
      <c r="E807" s="16"/>
      <c r="F807" s="16"/>
      <c r="G807" s="17"/>
      <c r="J807" s="12" t="str">
        <f>IF($A807="","",IF(COUNTIFS(Tasks!$B$5:$B$1000,$A807,Tasks!$A$5:$A$1000,"&lt;&gt;")=0,0,COUNTIFS(Tasks!$B$5:$B$1000,$A807,Tasks!$A$5:$A$1000,"&lt;&gt;",Tasks!$D$5:$D$1000,"Done")/COUNTIFS(Tasks!$B$5:$B$1000,$A807,Tasks!$A$5:$A$1000,"&lt;&gt;")))</f>
        <v/>
      </c>
      <c r="K807" s="11" t="str">
        <f>IF(OR($A807="",$F807=""),"",$F807-Overview!$B$3)</f>
        <v/>
      </c>
    </row>
    <row r="808" spans="4:11" x14ac:dyDescent="0.25">
      <c r="D808" s="18" t="str">
        <f>IF($C808="","",IFERROR(INDEX(Clients!$B$5:$B$1000,MATCH($C808,Clients!$A$5:$A$1000,0)),"Unknown client ID"))</f>
        <v/>
      </c>
      <c r="E808" s="16"/>
      <c r="F808" s="16"/>
      <c r="G808" s="17"/>
      <c r="J808" s="12" t="str">
        <f>IF($A808="","",IF(COUNTIFS(Tasks!$B$5:$B$1000,$A808,Tasks!$A$5:$A$1000,"&lt;&gt;")=0,0,COUNTIFS(Tasks!$B$5:$B$1000,$A808,Tasks!$A$5:$A$1000,"&lt;&gt;",Tasks!$D$5:$D$1000,"Done")/COUNTIFS(Tasks!$B$5:$B$1000,$A808,Tasks!$A$5:$A$1000,"&lt;&gt;")))</f>
        <v/>
      </c>
      <c r="K808" s="11" t="str">
        <f>IF(OR($A808="",$F808=""),"",$F808-Overview!$B$3)</f>
        <v/>
      </c>
    </row>
    <row r="809" spans="4:11" x14ac:dyDescent="0.25">
      <c r="D809" s="18" t="str">
        <f>IF($C809="","",IFERROR(INDEX(Clients!$B$5:$B$1000,MATCH($C809,Clients!$A$5:$A$1000,0)),"Unknown client ID"))</f>
        <v/>
      </c>
      <c r="E809" s="16"/>
      <c r="F809" s="16"/>
      <c r="G809" s="17"/>
      <c r="J809" s="12" t="str">
        <f>IF($A809="","",IF(COUNTIFS(Tasks!$B$5:$B$1000,$A809,Tasks!$A$5:$A$1000,"&lt;&gt;")=0,0,COUNTIFS(Tasks!$B$5:$B$1000,$A809,Tasks!$A$5:$A$1000,"&lt;&gt;",Tasks!$D$5:$D$1000,"Done")/COUNTIFS(Tasks!$B$5:$B$1000,$A809,Tasks!$A$5:$A$1000,"&lt;&gt;")))</f>
        <v/>
      </c>
      <c r="K809" s="11" t="str">
        <f>IF(OR($A809="",$F809=""),"",$F809-Overview!$B$3)</f>
        <v/>
      </c>
    </row>
    <row r="810" spans="4:11" x14ac:dyDescent="0.25">
      <c r="D810" s="18" t="str">
        <f>IF($C810="","",IFERROR(INDEX(Clients!$B$5:$B$1000,MATCH($C810,Clients!$A$5:$A$1000,0)),"Unknown client ID"))</f>
        <v/>
      </c>
      <c r="E810" s="16"/>
      <c r="F810" s="16"/>
      <c r="G810" s="17"/>
      <c r="J810" s="12" t="str">
        <f>IF($A810="","",IF(COUNTIFS(Tasks!$B$5:$B$1000,$A810,Tasks!$A$5:$A$1000,"&lt;&gt;")=0,0,COUNTIFS(Tasks!$B$5:$B$1000,$A810,Tasks!$A$5:$A$1000,"&lt;&gt;",Tasks!$D$5:$D$1000,"Done")/COUNTIFS(Tasks!$B$5:$B$1000,$A810,Tasks!$A$5:$A$1000,"&lt;&gt;")))</f>
        <v/>
      </c>
      <c r="K810" s="11" t="str">
        <f>IF(OR($A810="",$F810=""),"",$F810-Overview!$B$3)</f>
        <v/>
      </c>
    </row>
    <row r="811" spans="4:11" x14ac:dyDescent="0.25">
      <c r="D811" s="18" t="str">
        <f>IF($C811="","",IFERROR(INDEX(Clients!$B$5:$B$1000,MATCH($C811,Clients!$A$5:$A$1000,0)),"Unknown client ID"))</f>
        <v/>
      </c>
      <c r="E811" s="16"/>
      <c r="F811" s="16"/>
      <c r="G811" s="17"/>
      <c r="J811" s="12" t="str">
        <f>IF($A811="","",IF(COUNTIFS(Tasks!$B$5:$B$1000,$A811,Tasks!$A$5:$A$1000,"&lt;&gt;")=0,0,COUNTIFS(Tasks!$B$5:$B$1000,$A811,Tasks!$A$5:$A$1000,"&lt;&gt;",Tasks!$D$5:$D$1000,"Done")/COUNTIFS(Tasks!$B$5:$B$1000,$A811,Tasks!$A$5:$A$1000,"&lt;&gt;")))</f>
        <v/>
      </c>
      <c r="K811" s="11" t="str">
        <f>IF(OR($A811="",$F811=""),"",$F811-Overview!$B$3)</f>
        <v/>
      </c>
    </row>
    <row r="812" spans="4:11" x14ac:dyDescent="0.25">
      <c r="D812" s="18" t="str">
        <f>IF($C812="","",IFERROR(INDEX(Clients!$B$5:$B$1000,MATCH($C812,Clients!$A$5:$A$1000,0)),"Unknown client ID"))</f>
        <v/>
      </c>
      <c r="E812" s="16"/>
      <c r="F812" s="16"/>
      <c r="G812" s="17"/>
      <c r="J812" s="12" t="str">
        <f>IF($A812="","",IF(COUNTIFS(Tasks!$B$5:$B$1000,$A812,Tasks!$A$5:$A$1000,"&lt;&gt;")=0,0,COUNTIFS(Tasks!$B$5:$B$1000,$A812,Tasks!$A$5:$A$1000,"&lt;&gt;",Tasks!$D$5:$D$1000,"Done")/COUNTIFS(Tasks!$B$5:$B$1000,$A812,Tasks!$A$5:$A$1000,"&lt;&gt;")))</f>
        <v/>
      </c>
      <c r="K812" s="11" t="str">
        <f>IF(OR($A812="",$F812=""),"",$F812-Overview!$B$3)</f>
        <v/>
      </c>
    </row>
    <row r="813" spans="4:11" x14ac:dyDescent="0.25">
      <c r="D813" s="18" t="str">
        <f>IF($C813="","",IFERROR(INDEX(Clients!$B$5:$B$1000,MATCH($C813,Clients!$A$5:$A$1000,0)),"Unknown client ID"))</f>
        <v/>
      </c>
      <c r="E813" s="16"/>
      <c r="F813" s="16"/>
      <c r="G813" s="17"/>
      <c r="J813" s="12" t="str">
        <f>IF($A813="","",IF(COUNTIFS(Tasks!$B$5:$B$1000,$A813,Tasks!$A$5:$A$1000,"&lt;&gt;")=0,0,COUNTIFS(Tasks!$B$5:$B$1000,$A813,Tasks!$A$5:$A$1000,"&lt;&gt;",Tasks!$D$5:$D$1000,"Done")/COUNTIFS(Tasks!$B$5:$B$1000,$A813,Tasks!$A$5:$A$1000,"&lt;&gt;")))</f>
        <v/>
      </c>
      <c r="K813" s="11" t="str">
        <f>IF(OR($A813="",$F813=""),"",$F813-Overview!$B$3)</f>
        <v/>
      </c>
    </row>
    <row r="814" spans="4:11" x14ac:dyDescent="0.25">
      <c r="D814" s="18" t="str">
        <f>IF($C814="","",IFERROR(INDEX(Clients!$B$5:$B$1000,MATCH($C814,Clients!$A$5:$A$1000,0)),"Unknown client ID"))</f>
        <v/>
      </c>
      <c r="E814" s="16"/>
      <c r="F814" s="16"/>
      <c r="G814" s="17"/>
      <c r="J814" s="12" t="str">
        <f>IF($A814="","",IF(COUNTIFS(Tasks!$B$5:$B$1000,$A814,Tasks!$A$5:$A$1000,"&lt;&gt;")=0,0,COUNTIFS(Tasks!$B$5:$B$1000,$A814,Tasks!$A$5:$A$1000,"&lt;&gt;",Tasks!$D$5:$D$1000,"Done")/COUNTIFS(Tasks!$B$5:$B$1000,$A814,Tasks!$A$5:$A$1000,"&lt;&gt;")))</f>
        <v/>
      </c>
      <c r="K814" s="11" t="str">
        <f>IF(OR($A814="",$F814=""),"",$F814-Overview!$B$3)</f>
        <v/>
      </c>
    </row>
    <row r="815" spans="4:11" x14ac:dyDescent="0.25">
      <c r="D815" s="18" t="str">
        <f>IF($C815="","",IFERROR(INDEX(Clients!$B$5:$B$1000,MATCH($C815,Clients!$A$5:$A$1000,0)),"Unknown client ID"))</f>
        <v/>
      </c>
      <c r="E815" s="16"/>
      <c r="F815" s="16"/>
      <c r="G815" s="17"/>
      <c r="J815" s="12" t="str">
        <f>IF($A815="","",IF(COUNTIFS(Tasks!$B$5:$B$1000,$A815,Tasks!$A$5:$A$1000,"&lt;&gt;")=0,0,COUNTIFS(Tasks!$B$5:$B$1000,$A815,Tasks!$A$5:$A$1000,"&lt;&gt;",Tasks!$D$5:$D$1000,"Done")/COUNTIFS(Tasks!$B$5:$B$1000,$A815,Tasks!$A$5:$A$1000,"&lt;&gt;")))</f>
        <v/>
      </c>
      <c r="K815" s="11" t="str">
        <f>IF(OR($A815="",$F815=""),"",$F815-Overview!$B$3)</f>
        <v/>
      </c>
    </row>
    <row r="816" spans="4:11" x14ac:dyDescent="0.25">
      <c r="D816" s="18" t="str">
        <f>IF($C816="","",IFERROR(INDEX(Clients!$B$5:$B$1000,MATCH($C816,Clients!$A$5:$A$1000,0)),"Unknown client ID"))</f>
        <v/>
      </c>
      <c r="E816" s="16"/>
      <c r="F816" s="16"/>
      <c r="G816" s="17"/>
      <c r="J816" s="12" t="str">
        <f>IF($A816="","",IF(COUNTIFS(Tasks!$B$5:$B$1000,$A816,Tasks!$A$5:$A$1000,"&lt;&gt;")=0,0,COUNTIFS(Tasks!$B$5:$B$1000,$A816,Tasks!$A$5:$A$1000,"&lt;&gt;",Tasks!$D$5:$D$1000,"Done")/COUNTIFS(Tasks!$B$5:$B$1000,$A816,Tasks!$A$5:$A$1000,"&lt;&gt;")))</f>
        <v/>
      </c>
      <c r="K816" s="11" t="str">
        <f>IF(OR($A816="",$F816=""),"",$F816-Overview!$B$3)</f>
        <v/>
      </c>
    </row>
    <row r="817" spans="4:11" x14ac:dyDescent="0.25">
      <c r="D817" s="18" t="str">
        <f>IF($C817="","",IFERROR(INDEX(Clients!$B$5:$B$1000,MATCH($C817,Clients!$A$5:$A$1000,0)),"Unknown client ID"))</f>
        <v/>
      </c>
      <c r="E817" s="16"/>
      <c r="F817" s="16"/>
      <c r="G817" s="17"/>
      <c r="J817" s="12" t="str">
        <f>IF($A817="","",IF(COUNTIFS(Tasks!$B$5:$B$1000,$A817,Tasks!$A$5:$A$1000,"&lt;&gt;")=0,0,COUNTIFS(Tasks!$B$5:$B$1000,$A817,Tasks!$A$5:$A$1000,"&lt;&gt;",Tasks!$D$5:$D$1000,"Done")/COUNTIFS(Tasks!$B$5:$B$1000,$A817,Tasks!$A$5:$A$1000,"&lt;&gt;")))</f>
        <v/>
      </c>
      <c r="K817" s="11" t="str">
        <f>IF(OR($A817="",$F817=""),"",$F817-Overview!$B$3)</f>
        <v/>
      </c>
    </row>
    <row r="818" spans="4:11" x14ac:dyDescent="0.25">
      <c r="D818" s="18" t="str">
        <f>IF($C818="","",IFERROR(INDEX(Clients!$B$5:$B$1000,MATCH($C818,Clients!$A$5:$A$1000,0)),"Unknown client ID"))</f>
        <v/>
      </c>
      <c r="E818" s="16"/>
      <c r="F818" s="16"/>
      <c r="G818" s="17"/>
      <c r="J818" s="12" t="str">
        <f>IF($A818="","",IF(COUNTIFS(Tasks!$B$5:$B$1000,$A818,Tasks!$A$5:$A$1000,"&lt;&gt;")=0,0,COUNTIFS(Tasks!$B$5:$B$1000,$A818,Tasks!$A$5:$A$1000,"&lt;&gt;",Tasks!$D$5:$D$1000,"Done")/COUNTIFS(Tasks!$B$5:$B$1000,$A818,Tasks!$A$5:$A$1000,"&lt;&gt;")))</f>
        <v/>
      </c>
      <c r="K818" s="11" t="str">
        <f>IF(OR($A818="",$F818=""),"",$F818-Overview!$B$3)</f>
        <v/>
      </c>
    </row>
    <row r="819" spans="4:11" x14ac:dyDescent="0.25">
      <c r="D819" s="18" t="str">
        <f>IF($C819="","",IFERROR(INDEX(Clients!$B$5:$B$1000,MATCH($C819,Clients!$A$5:$A$1000,0)),"Unknown client ID"))</f>
        <v/>
      </c>
      <c r="E819" s="16"/>
      <c r="F819" s="16"/>
      <c r="G819" s="17"/>
      <c r="J819" s="12" t="str">
        <f>IF($A819="","",IF(COUNTIFS(Tasks!$B$5:$B$1000,$A819,Tasks!$A$5:$A$1000,"&lt;&gt;")=0,0,COUNTIFS(Tasks!$B$5:$B$1000,$A819,Tasks!$A$5:$A$1000,"&lt;&gt;",Tasks!$D$5:$D$1000,"Done")/COUNTIFS(Tasks!$B$5:$B$1000,$A819,Tasks!$A$5:$A$1000,"&lt;&gt;")))</f>
        <v/>
      </c>
      <c r="K819" s="11" t="str">
        <f>IF(OR($A819="",$F819=""),"",$F819-Overview!$B$3)</f>
        <v/>
      </c>
    </row>
    <row r="820" spans="4:11" x14ac:dyDescent="0.25">
      <c r="D820" s="18" t="str">
        <f>IF($C820="","",IFERROR(INDEX(Clients!$B$5:$B$1000,MATCH($C820,Clients!$A$5:$A$1000,0)),"Unknown client ID"))</f>
        <v/>
      </c>
      <c r="E820" s="16"/>
      <c r="F820" s="16"/>
      <c r="G820" s="17"/>
      <c r="J820" s="12" t="str">
        <f>IF($A820="","",IF(COUNTIFS(Tasks!$B$5:$B$1000,$A820,Tasks!$A$5:$A$1000,"&lt;&gt;")=0,0,COUNTIFS(Tasks!$B$5:$B$1000,$A820,Tasks!$A$5:$A$1000,"&lt;&gt;",Tasks!$D$5:$D$1000,"Done")/COUNTIFS(Tasks!$B$5:$B$1000,$A820,Tasks!$A$5:$A$1000,"&lt;&gt;")))</f>
        <v/>
      </c>
      <c r="K820" s="11" t="str">
        <f>IF(OR($A820="",$F820=""),"",$F820-Overview!$B$3)</f>
        <v/>
      </c>
    </row>
    <row r="821" spans="4:11" x14ac:dyDescent="0.25">
      <c r="D821" s="18" t="str">
        <f>IF($C821="","",IFERROR(INDEX(Clients!$B$5:$B$1000,MATCH($C821,Clients!$A$5:$A$1000,0)),"Unknown client ID"))</f>
        <v/>
      </c>
      <c r="E821" s="16"/>
      <c r="F821" s="16"/>
      <c r="G821" s="17"/>
      <c r="J821" s="12" t="str">
        <f>IF($A821="","",IF(COUNTIFS(Tasks!$B$5:$B$1000,$A821,Tasks!$A$5:$A$1000,"&lt;&gt;")=0,0,COUNTIFS(Tasks!$B$5:$B$1000,$A821,Tasks!$A$5:$A$1000,"&lt;&gt;",Tasks!$D$5:$D$1000,"Done")/COUNTIFS(Tasks!$B$5:$B$1000,$A821,Tasks!$A$5:$A$1000,"&lt;&gt;")))</f>
        <v/>
      </c>
      <c r="K821" s="11" t="str">
        <f>IF(OR($A821="",$F821=""),"",$F821-Overview!$B$3)</f>
        <v/>
      </c>
    </row>
    <row r="822" spans="4:11" x14ac:dyDescent="0.25">
      <c r="D822" s="18" t="str">
        <f>IF($C822="","",IFERROR(INDEX(Clients!$B$5:$B$1000,MATCH($C822,Clients!$A$5:$A$1000,0)),"Unknown client ID"))</f>
        <v/>
      </c>
      <c r="E822" s="16"/>
      <c r="F822" s="16"/>
      <c r="G822" s="17"/>
      <c r="J822" s="12" t="str">
        <f>IF($A822="","",IF(COUNTIFS(Tasks!$B$5:$B$1000,$A822,Tasks!$A$5:$A$1000,"&lt;&gt;")=0,0,COUNTIFS(Tasks!$B$5:$B$1000,$A822,Tasks!$A$5:$A$1000,"&lt;&gt;",Tasks!$D$5:$D$1000,"Done")/COUNTIFS(Tasks!$B$5:$B$1000,$A822,Tasks!$A$5:$A$1000,"&lt;&gt;")))</f>
        <v/>
      </c>
      <c r="K822" s="11" t="str">
        <f>IF(OR($A822="",$F822=""),"",$F822-Overview!$B$3)</f>
        <v/>
      </c>
    </row>
    <row r="823" spans="4:11" x14ac:dyDescent="0.25">
      <c r="D823" s="18" t="str">
        <f>IF($C823="","",IFERROR(INDEX(Clients!$B$5:$B$1000,MATCH($C823,Clients!$A$5:$A$1000,0)),"Unknown client ID"))</f>
        <v/>
      </c>
      <c r="E823" s="16"/>
      <c r="F823" s="16"/>
      <c r="G823" s="17"/>
      <c r="J823" s="12" t="str">
        <f>IF($A823="","",IF(COUNTIFS(Tasks!$B$5:$B$1000,$A823,Tasks!$A$5:$A$1000,"&lt;&gt;")=0,0,COUNTIFS(Tasks!$B$5:$B$1000,$A823,Tasks!$A$5:$A$1000,"&lt;&gt;",Tasks!$D$5:$D$1000,"Done")/COUNTIFS(Tasks!$B$5:$B$1000,$A823,Tasks!$A$5:$A$1000,"&lt;&gt;")))</f>
        <v/>
      </c>
      <c r="K823" s="11" t="str">
        <f>IF(OR($A823="",$F823=""),"",$F823-Overview!$B$3)</f>
        <v/>
      </c>
    </row>
    <row r="824" spans="4:11" x14ac:dyDescent="0.25">
      <c r="D824" s="18" t="str">
        <f>IF($C824="","",IFERROR(INDEX(Clients!$B$5:$B$1000,MATCH($C824,Clients!$A$5:$A$1000,0)),"Unknown client ID"))</f>
        <v/>
      </c>
      <c r="E824" s="16"/>
      <c r="F824" s="16"/>
      <c r="G824" s="17"/>
      <c r="J824" s="12" t="str">
        <f>IF($A824="","",IF(COUNTIFS(Tasks!$B$5:$B$1000,$A824,Tasks!$A$5:$A$1000,"&lt;&gt;")=0,0,COUNTIFS(Tasks!$B$5:$B$1000,$A824,Tasks!$A$5:$A$1000,"&lt;&gt;",Tasks!$D$5:$D$1000,"Done")/COUNTIFS(Tasks!$B$5:$B$1000,$A824,Tasks!$A$5:$A$1000,"&lt;&gt;")))</f>
        <v/>
      </c>
      <c r="K824" s="11" t="str">
        <f>IF(OR($A824="",$F824=""),"",$F824-Overview!$B$3)</f>
        <v/>
      </c>
    </row>
    <row r="825" spans="4:11" x14ac:dyDescent="0.25">
      <c r="D825" s="18" t="str">
        <f>IF($C825="","",IFERROR(INDEX(Clients!$B$5:$B$1000,MATCH($C825,Clients!$A$5:$A$1000,0)),"Unknown client ID"))</f>
        <v/>
      </c>
      <c r="E825" s="16"/>
      <c r="F825" s="16"/>
      <c r="G825" s="17"/>
      <c r="J825" s="12" t="str">
        <f>IF($A825="","",IF(COUNTIFS(Tasks!$B$5:$B$1000,$A825,Tasks!$A$5:$A$1000,"&lt;&gt;")=0,0,COUNTIFS(Tasks!$B$5:$B$1000,$A825,Tasks!$A$5:$A$1000,"&lt;&gt;",Tasks!$D$5:$D$1000,"Done")/COUNTIFS(Tasks!$B$5:$B$1000,$A825,Tasks!$A$5:$A$1000,"&lt;&gt;")))</f>
        <v/>
      </c>
      <c r="K825" s="11" t="str">
        <f>IF(OR($A825="",$F825=""),"",$F825-Overview!$B$3)</f>
        <v/>
      </c>
    </row>
    <row r="826" spans="4:11" x14ac:dyDescent="0.25">
      <c r="D826" s="18" t="str">
        <f>IF($C826="","",IFERROR(INDEX(Clients!$B$5:$B$1000,MATCH($C826,Clients!$A$5:$A$1000,0)),"Unknown client ID"))</f>
        <v/>
      </c>
      <c r="E826" s="16"/>
      <c r="F826" s="16"/>
      <c r="G826" s="17"/>
      <c r="J826" s="12" t="str">
        <f>IF($A826="","",IF(COUNTIFS(Tasks!$B$5:$B$1000,$A826,Tasks!$A$5:$A$1000,"&lt;&gt;")=0,0,COUNTIFS(Tasks!$B$5:$B$1000,$A826,Tasks!$A$5:$A$1000,"&lt;&gt;",Tasks!$D$5:$D$1000,"Done")/COUNTIFS(Tasks!$B$5:$B$1000,$A826,Tasks!$A$5:$A$1000,"&lt;&gt;")))</f>
        <v/>
      </c>
      <c r="K826" s="11" t="str">
        <f>IF(OR($A826="",$F826=""),"",$F826-Overview!$B$3)</f>
        <v/>
      </c>
    </row>
    <row r="827" spans="4:11" x14ac:dyDescent="0.25">
      <c r="D827" s="18" t="str">
        <f>IF($C827="","",IFERROR(INDEX(Clients!$B$5:$B$1000,MATCH($C827,Clients!$A$5:$A$1000,0)),"Unknown client ID"))</f>
        <v/>
      </c>
      <c r="E827" s="16"/>
      <c r="F827" s="16"/>
      <c r="G827" s="17"/>
      <c r="J827" s="12" t="str">
        <f>IF($A827="","",IF(COUNTIFS(Tasks!$B$5:$B$1000,$A827,Tasks!$A$5:$A$1000,"&lt;&gt;")=0,0,COUNTIFS(Tasks!$B$5:$B$1000,$A827,Tasks!$A$5:$A$1000,"&lt;&gt;",Tasks!$D$5:$D$1000,"Done")/COUNTIFS(Tasks!$B$5:$B$1000,$A827,Tasks!$A$5:$A$1000,"&lt;&gt;")))</f>
        <v/>
      </c>
      <c r="K827" s="11" t="str">
        <f>IF(OR($A827="",$F827=""),"",$F827-Overview!$B$3)</f>
        <v/>
      </c>
    </row>
    <row r="828" spans="4:11" x14ac:dyDescent="0.25">
      <c r="D828" s="18" t="str">
        <f>IF($C828="","",IFERROR(INDEX(Clients!$B$5:$B$1000,MATCH($C828,Clients!$A$5:$A$1000,0)),"Unknown client ID"))</f>
        <v/>
      </c>
      <c r="E828" s="16"/>
      <c r="F828" s="16"/>
      <c r="G828" s="17"/>
      <c r="J828" s="12" t="str">
        <f>IF($A828="","",IF(COUNTIFS(Tasks!$B$5:$B$1000,$A828,Tasks!$A$5:$A$1000,"&lt;&gt;")=0,0,COUNTIFS(Tasks!$B$5:$B$1000,$A828,Tasks!$A$5:$A$1000,"&lt;&gt;",Tasks!$D$5:$D$1000,"Done")/COUNTIFS(Tasks!$B$5:$B$1000,$A828,Tasks!$A$5:$A$1000,"&lt;&gt;")))</f>
        <v/>
      </c>
      <c r="K828" s="11" t="str">
        <f>IF(OR($A828="",$F828=""),"",$F828-Overview!$B$3)</f>
        <v/>
      </c>
    </row>
    <row r="829" spans="4:11" x14ac:dyDescent="0.25">
      <c r="D829" s="18" t="str">
        <f>IF($C829="","",IFERROR(INDEX(Clients!$B$5:$B$1000,MATCH($C829,Clients!$A$5:$A$1000,0)),"Unknown client ID"))</f>
        <v/>
      </c>
      <c r="E829" s="16"/>
      <c r="F829" s="16"/>
      <c r="G829" s="17"/>
      <c r="J829" s="12" t="str">
        <f>IF($A829="","",IF(COUNTIFS(Tasks!$B$5:$B$1000,$A829,Tasks!$A$5:$A$1000,"&lt;&gt;")=0,0,COUNTIFS(Tasks!$B$5:$B$1000,$A829,Tasks!$A$5:$A$1000,"&lt;&gt;",Tasks!$D$5:$D$1000,"Done")/COUNTIFS(Tasks!$B$5:$B$1000,$A829,Tasks!$A$5:$A$1000,"&lt;&gt;")))</f>
        <v/>
      </c>
      <c r="K829" s="11" t="str">
        <f>IF(OR($A829="",$F829=""),"",$F829-Overview!$B$3)</f>
        <v/>
      </c>
    </row>
    <row r="830" spans="4:11" x14ac:dyDescent="0.25">
      <c r="D830" s="18" t="str">
        <f>IF($C830="","",IFERROR(INDEX(Clients!$B$5:$B$1000,MATCH($C830,Clients!$A$5:$A$1000,0)),"Unknown client ID"))</f>
        <v/>
      </c>
      <c r="E830" s="16"/>
      <c r="F830" s="16"/>
      <c r="G830" s="17"/>
      <c r="J830" s="12" t="str">
        <f>IF($A830="","",IF(COUNTIFS(Tasks!$B$5:$B$1000,$A830,Tasks!$A$5:$A$1000,"&lt;&gt;")=0,0,COUNTIFS(Tasks!$B$5:$B$1000,$A830,Tasks!$A$5:$A$1000,"&lt;&gt;",Tasks!$D$5:$D$1000,"Done")/COUNTIFS(Tasks!$B$5:$B$1000,$A830,Tasks!$A$5:$A$1000,"&lt;&gt;")))</f>
        <v/>
      </c>
      <c r="K830" s="11" t="str">
        <f>IF(OR($A830="",$F830=""),"",$F830-Overview!$B$3)</f>
        <v/>
      </c>
    </row>
    <row r="831" spans="4:11" x14ac:dyDescent="0.25">
      <c r="D831" s="18" t="str">
        <f>IF($C831="","",IFERROR(INDEX(Clients!$B$5:$B$1000,MATCH($C831,Clients!$A$5:$A$1000,0)),"Unknown client ID"))</f>
        <v/>
      </c>
      <c r="E831" s="16"/>
      <c r="F831" s="16"/>
      <c r="G831" s="17"/>
      <c r="J831" s="12" t="str">
        <f>IF($A831="","",IF(COUNTIFS(Tasks!$B$5:$B$1000,$A831,Tasks!$A$5:$A$1000,"&lt;&gt;")=0,0,COUNTIFS(Tasks!$B$5:$B$1000,$A831,Tasks!$A$5:$A$1000,"&lt;&gt;",Tasks!$D$5:$D$1000,"Done")/COUNTIFS(Tasks!$B$5:$B$1000,$A831,Tasks!$A$5:$A$1000,"&lt;&gt;")))</f>
        <v/>
      </c>
      <c r="K831" s="11" t="str">
        <f>IF(OR($A831="",$F831=""),"",$F831-Overview!$B$3)</f>
        <v/>
      </c>
    </row>
    <row r="832" spans="4:11" x14ac:dyDescent="0.25">
      <c r="D832" s="18" t="str">
        <f>IF($C832="","",IFERROR(INDEX(Clients!$B$5:$B$1000,MATCH($C832,Clients!$A$5:$A$1000,0)),"Unknown client ID"))</f>
        <v/>
      </c>
      <c r="E832" s="16"/>
      <c r="F832" s="16"/>
      <c r="G832" s="17"/>
      <c r="J832" s="12" t="str">
        <f>IF($A832="","",IF(COUNTIFS(Tasks!$B$5:$B$1000,$A832,Tasks!$A$5:$A$1000,"&lt;&gt;")=0,0,COUNTIFS(Tasks!$B$5:$B$1000,$A832,Tasks!$A$5:$A$1000,"&lt;&gt;",Tasks!$D$5:$D$1000,"Done")/COUNTIFS(Tasks!$B$5:$B$1000,$A832,Tasks!$A$5:$A$1000,"&lt;&gt;")))</f>
        <v/>
      </c>
      <c r="K832" s="11" t="str">
        <f>IF(OR($A832="",$F832=""),"",$F832-Overview!$B$3)</f>
        <v/>
      </c>
    </row>
    <row r="833" spans="4:11" x14ac:dyDescent="0.25">
      <c r="D833" s="18" t="str">
        <f>IF($C833="","",IFERROR(INDEX(Clients!$B$5:$B$1000,MATCH($C833,Clients!$A$5:$A$1000,0)),"Unknown client ID"))</f>
        <v/>
      </c>
      <c r="E833" s="16"/>
      <c r="F833" s="16"/>
      <c r="G833" s="17"/>
      <c r="J833" s="12" t="str">
        <f>IF($A833="","",IF(COUNTIFS(Tasks!$B$5:$B$1000,$A833,Tasks!$A$5:$A$1000,"&lt;&gt;")=0,0,COUNTIFS(Tasks!$B$5:$B$1000,$A833,Tasks!$A$5:$A$1000,"&lt;&gt;",Tasks!$D$5:$D$1000,"Done")/COUNTIFS(Tasks!$B$5:$B$1000,$A833,Tasks!$A$5:$A$1000,"&lt;&gt;")))</f>
        <v/>
      </c>
      <c r="K833" s="11" t="str">
        <f>IF(OR($A833="",$F833=""),"",$F833-Overview!$B$3)</f>
        <v/>
      </c>
    </row>
    <row r="834" spans="4:11" x14ac:dyDescent="0.25">
      <c r="D834" s="18" t="str">
        <f>IF($C834="","",IFERROR(INDEX(Clients!$B$5:$B$1000,MATCH($C834,Clients!$A$5:$A$1000,0)),"Unknown client ID"))</f>
        <v/>
      </c>
      <c r="E834" s="16"/>
      <c r="F834" s="16"/>
      <c r="G834" s="17"/>
      <c r="J834" s="12" t="str">
        <f>IF($A834="","",IF(COUNTIFS(Tasks!$B$5:$B$1000,$A834,Tasks!$A$5:$A$1000,"&lt;&gt;")=0,0,COUNTIFS(Tasks!$B$5:$B$1000,$A834,Tasks!$A$5:$A$1000,"&lt;&gt;",Tasks!$D$5:$D$1000,"Done")/COUNTIFS(Tasks!$B$5:$B$1000,$A834,Tasks!$A$5:$A$1000,"&lt;&gt;")))</f>
        <v/>
      </c>
      <c r="K834" s="11" t="str">
        <f>IF(OR($A834="",$F834=""),"",$F834-Overview!$B$3)</f>
        <v/>
      </c>
    </row>
    <row r="835" spans="4:11" x14ac:dyDescent="0.25">
      <c r="D835" s="18" t="str">
        <f>IF($C835="","",IFERROR(INDEX(Clients!$B$5:$B$1000,MATCH($C835,Clients!$A$5:$A$1000,0)),"Unknown client ID"))</f>
        <v/>
      </c>
      <c r="E835" s="16"/>
      <c r="F835" s="16"/>
      <c r="G835" s="17"/>
      <c r="J835" s="12" t="str">
        <f>IF($A835="","",IF(COUNTIFS(Tasks!$B$5:$B$1000,$A835,Tasks!$A$5:$A$1000,"&lt;&gt;")=0,0,COUNTIFS(Tasks!$B$5:$B$1000,$A835,Tasks!$A$5:$A$1000,"&lt;&gt;",Tasks!$D$5:$D$1000,"Done")/COUNTIFS(Tasks!$B$5:$B$1000,$A835,Tasks!$A$5:$A$1000,"&lt;&gt;")))</f>
        <v/>
      </c>
      <c r="K835" s="11" t="str">
        <f>IF(OR($A835="",$F835=""),"",$F835-Overview!$B$3)</f>
        <v/>
      </c>
    </row>
    <row r="836" spans="4:11" x14ac:dyDescent="0.25">
      <c r="D836" s="18" t="str">
        <f>IF($C836="","",IFERROR(INDEX(Clients!$B$5:$B$1000,MATCH($C836,Clients!$A$5:$A$1000,0)),"Unknown client ID"))</f>
        <v/>
      </c>
      <c r="E836" s="16"/>
      <c r="F836" s="16"/>
      <c r="G836" s="17"/>
      <c r="J836" s="12" t="str">
        <f>IF($A836="","",IF(COUNTIFS(Tasks!$B$5:$B$1000,$A836,Tasks!$A$5:$A$1000,"&lt;&gt;")=0,0,COUNTIFS(Tasks!$B$5:$B$1000,$A836,Tasks!$A$5:$A$1000,"&lt;&gt;",Tasks!$D$5:$D$1000,"Done")/COUNTIFS(Tasks!$B$5:$B$1000,$A836,Tasks!$A$5:$A$1000,"&lt;&gt;")))</f>
        <v/>
      </c>
      <c r="K836" s="11" t="str">
        <f>IF(OR($A836="",$F836=""),"",$F836-Overview!$B$3)</f>
        <v/>
      </c>
    </row>
    <row r="837" spans="4:11" x14ac:dyDescent="0.25">
      <c r="D837" s="18" t="str">
        <f>IF($C837="","",IFERROR(INDEX(Clients!$B$5:$B$1000,MATCH($C837,Clients!$A$5:$A$1000,0)),"Unknown client ID"))</f>
        <v/>
      </c>
      <c r="E837" s="16"/>
      <c r="F837" s="16"/>
      <c r="G837" s="17"/>
      <c r="J837" s="12" t="str">
        <f>IF($A837="","",IF(COUNTIFS(Tasks!$B$5:$B$1000,$A837,Tasks!$A$5:$A$1000,"&lt;&gt;")=0,0,COUNTIFS(Tasks!$B$5:$B$1000,$A837,Tasks!$A$5:$A$1000,"&lt;&gt;",Tasks!$D$5:$D$1000,"Done")/COUNTIFS(Tasks!$B$5:$B$1000,$A837,Tasks!$A$5:$A$1000,"&lt;&gt;")))</f>
        <v/>
      </c>
      <c r="K837" s="11" t="str">
        <f>IF(OR($A837="",$F837=""),"",$F837-Overview!$B$3)</f>
        <v/>
      </c>
    </row>
    <row r="838" spans="4:11" x14ac:dyDescent="0.25">
      <c r="D838" s="18" t="str">
        <f>IF($C838="","",IFERROR(INDEX(Clients!$B$5:$B$1000,MATCH($C838,Clients!$A$5:$A$1000,0)),"Unknown client ID"))</f>
        <v/>
      </c>
      <c r="E838" s="16"/>
      <c r="F838" s="16"/>
      <c r="G838" s="17"/>
      <c r="J838" s="12" t="str">
        <f>IF($A838="","",IF(COUNTIFS(Tasks!$B$5:$B$1000,$A838,Tasks!$A$5:$A$1000,"&lt;&gt;")=0,0,COUNTIFS(Tasks!$B$5:$B$1000,$A838,Tasks!$A$5:$A$1000,"&lt;&gt;",Tasks!$D$5:$D$1000,"Done")/COUNTIFS(Tasks!$B$5:$B$1000,$A838,Tasks!$A$5:$A$1000,"&lt;&gt;")))</f>
        <v/>
      </c>
      <c r="K838" s="11" t="str">
        <f>IF(OR($A838="",$F838=""),"",$F838-Overview!$B$3)</f>
        <v/>
      </c>
    </row>
    <row r="839" spans="4:11" x14ac:dyDescent="0.25">
      <c r="D839" s="18" t="str">
        <f>IF($C839="","",IFERROR(INDEX(Clients!$B$5:$B$1000,MATCH($C839,Clients!$A$5:$A$1000,0)),"Unknown client ID"))</f>
        <v/>
      </c>
      <c r="E839" s="16"/>
      <c r="F839" s="16"/>
      <c r="G839" s="17"/>
      <c r="J839" s="12" t="str">
        <f>IF($A839="","",IF(COUNTIFS(Tasks!$B$5:$B$1000,$A839,Tasks!$A$5:$A$1000,"&lt;&gt;")=0,0,COUNTIFS(Tasks!$B$5:$B$1000,$A839,Tasks!$A$5:$A$1000,"&lt;&gt;",Tasks!$D$5:$D$1000,"Done")/COUNTIFS(Tasks!$B$5:$B$1000,$A839,Tasks!$A$5:$A$1000,"&lt;&gt;")))</f>
        <v/>
      </c>
      <c r="K839" s="11" t="str">
        <f>IF(OR($A839="",$F839=""),"",$F839-Overview!$B$3)</f>
        <v/>
      </c>
    </row>
    <row r="840" spans="4:11" x14ac:dyDescent="0.25">
      <c r="D840" s="18" t="str">
        <f>IF($C840="","",IFERROR(INDEX(Clients!$B$5:$B$1000,MATCH($C840,Clients!$A$5:$A$1000,0)),"Unknown client ID"))</f>
        <v/>
      </c>
      <c r="E840" s="16"/>
      <c r="F840" s="16"/>
      <c r="G840" s="17"/>
      <c r="J840" s="12" t="str">
        <f>IF($A840="","",IF(COUNTIFS(Tasks!$B$5:$B$1000,$A840,Tasks!$A$5:$A$1000,"&lt;&gt;")=0,0,COUNTIFS(Tasks!$B$5:$B$1000,$A840,Tasks!$A$5:$A$1000,"&lt;&gt;",Tasks!$D$5:$D$1000,"Done")/COUNTIFS(Tasks!$B$5:$B$1000,$A840,Tasks!$A$5:$A$1000,"&lt;&gt;")))</f>
        <v/>
      </c>
      <c r="K840" s="11" t="str">
        <f>IF(OR($A840="",$F840=""),"",$F840-Overview!$B$3)</f>
        <v/>
      </c>
    </row>
    <row r="841" spans="4:11" x14ac:dyDescent="0.25">
      <c r="D841" s="18" t="str">
        <f>IF($C841="","",IFERROR(INDEX(Clients!$B$5:$B$1000,MATCH($C841,Clients!$A$5:$A$1000,0)),"Unknown client ID"))</f>
        <v/>
      </c>
      <c r="E841" s="16"/>
      <c r="F841" s="16"/>
      <c r="G841" s="17"/>
      <c r="J841" s="12" t="str">
        <f>IF($A841="","",IF(COUNTIFS(Tasks!$B$5:$B$1000,$A841,Tasks!$A$5:$A$1000,"&lt;&gt;")=0,0,COUNTIFS(Tasks!$B$5:$B$1000,$A841,Tasks!$A$5:$A$1000,"&lt;&gt;",Tasks!$D$5:$D$1000,"Done")/COUNTIFS(Tasks!$B$5:$B$1000,$A841,Tasks!$A$5:$A$1000,"&lt;&gt;")))</f>
        <v/>
      </c>
      <c r="K841" s="11" t="str">
        <f>IF(OR($A841="",$F841=""),"",$F841-Overview!$B$3)</f>
        <v/>
      </c>
    </row>
    <row r="842" spans="4:11" x14ac:dyDescent="0.25">
      <c r="D842" s="18" t="str">
        <f>IF($C842="","",IFERROR(INDEX(Clients!$B$5:$B$1000,MATCH($C842,Clients!$A$5:$A$1000,0)),"Unknown client ID"))</f>
        <v/>
      </c>
      <c r="E842" s="16"/>
      <c r="F842" s="16"/>
      <c r="G842" s="17"/>
      <c r="J842" s="12" t="str">
        <f>IF($A842="","",IF(COUNTIFS(Tasks!$B$5:$B$1000,$A842,Tasks!$A$5:$A$1000,"&lt;&gt;")=0,0,COUNTIFS(Tasks!$B$5:$B$1000,$A842,Tasks!$A$5:$A$1000,"&lt;&gt;",Tasks!$D$5:$D$1000,"Done")/COUNTIFS(Tasks!$B$5:$B$1000,$A842,Tasks!$A$5:$A$1000,"&lt;&gt;")))</f>
        <v/>
      </c>
      <c r="K842" s="11" t="str">
        <f>IF(OR($A842="",$F842=""),"",$F842-Overview!$B$3)</f>
        <v/>
      </c>
    </row>
    <row r="843" spans="4:11" x14ac:dyDescent="0.25">
      <c r="D843" s="18" t="str">
        <f>IF($C843="","",IFERROR(INDEX(Clients!$B$5:$B$1000,MATCH($C843,Clients!$A$5:$A$1000,0)),"Unknown client ID"))</f>
        <v/>
      </c>
      <c r="E843" s="16"/>
      <c r="F843" s="16"/>
      <c r="G843" s="17"/>
      <c r="J843" s="12" t="str">
        <f>IF($A843="","",IF(COUNTIFS(Tasks!$B$5:$B$1000,$A843,Tasks!$A$5:$A$1000,"&lt;&gt;")=0,0,COUNTIFS(Tasks!$B$5:$B$1000,$A843,Tasks!$A$5:$A$1000,"&lt;&gt;",Tasks!$D$5:$D$1000,"Done")/COUNTIFS(Tasks!$B$5:$B$1000,$A843,Tasks!$A$5:$A$1000,"&lt;&gt;")))</f>
        <v/>
      </c>
      <c r="K843" s="11" t="str">
        <f>IF(OR($A843="",$F843=""),"",$F843-Overview!$B$3)</f>
        <v/>
      </c>
    </row>
    <row r="844" spans="4:11" x14ac:dyDescent="0.25">
      <c r="D844" s="18" t="str">
        <f>IF($C844="","",IFERROR(INDEX(Clients!$B$5:$B$1000,MATCH($C844,Clients!$A$5:$A$1000,0)),"Unknown client ID"))</f>
        <v/>
      </c>
      <c r="E844" s="16"/>
      <c r="F844" s="16"/>
      <c r="G844" s="17"/>
      <c r="J844" s="12" t="str">
        <f>IF($A844="","",IF(COUNTIFS(Tasks!$B$5:$B$1000,$A844,Tasks!$A$5:$A$1000,"&lt;&gt;")=0,0,COUNTIFS(Tasks!$B$5:$B$1000,$A844,Tasks!$A$5:$A$1000,"&lt;&gt;",Tasks!$D$5:$D$1000,"Done")/COUNTIFS(Tasks!$B$5:$B$1000,$A844,Tasks!$A$5:$A$1000,"&lt;&gt;")))</f>
        <v/>
      </c>
      <c r="K844" s="11" t="str">
        <f>IF(OR($A844="",$F844=""),"",$F844-Overview!$B$3)</f>
        <v/>
      </c>
    </row>
    <row r="845" spans="4:11" x14ac:dyDescent="0.25">
      <c r="D845" s="18" t="str">
        <f>IF($C845="","",IFERROR(INDEX(Clients!$B$5:$B$1000,MATCH($C845,Clients!$A$5:$A$1000,0)),"Unknown client ID"))</f>
        <v/>
      </c>
      <c r="E845" s="16"/>
      <c r="F845" s="16"/>
      <c r="G845" s="17"/>
      <c r="J845" s="12" t="str">
        <f>IF($A845="","",IF(COUNTIFS(Tasks!$B$5:$B$1000,$A845,Tasks!$A$5:$A$1000,"&lt;&gt;")=0,0,COUNTIFS(Tasks!$B$5:$B$1000,$A845,Tasks!$A$5:$A$1000,"&lt;&gt;",Tasks!$D$5:$D$1000,"Done")/COUNTIFS(Tasks!$B$5:$B$1000,$A845,Tasks!$A$5:$A$1000,"&lt;&gt;")))</f>
        <v/>
      </c>
      <c r="K845" s="11" t="str">
        <f>IF(OR($A845="",$F845=""),"",$F845-Overview!$B$3)</f>
        <v/>
      </c>
    </row>
    <row r="846" spans="4:11" x14ac:dyDescent="0.25">
      <c r="D846" s="18" t="str">
        <f>IF($C846="","",IFERROR(INDEX(Clients!$B$5:$B$1000,MATCH($C846,Clients!$A$5:$A$1000,0)),"Unknown client ID"))</f>
        <v/>
      </c>
      <c r="E846" s="16"/>
      <c r="F846" s="16"/>
      <c r="G846" s="17"/>
      <c r="J846" s="12" t="str">
        <f>IF($A846="","",IF(COUNTIFS(Tasks!$B$5:$B$1000,$A846,Tasks!$A$5:$A$1000,"&lt;&gt;")=0,0,COUNTIFS(Tasks!$B$5:$B$1000,$A846,Tasks!$A$5:$A$1000,"&lt;&gt;",Tasks!$D$5:$D$1000,"Done")/COUNTIFS(Tasks!$B$5:$B$1000,$A846,Tasks!$A$5:$A$1000,"&lt;&gt;")))</f>
        <v/>
      </c>
      <c r="K846" s="11" t="str">
        <f>IF(OR($A846="",$F846=""),"",$F846-Overview!$B$3)</f>
        <v/>
      </c>
    </row>
    <row r="847" spans="4:11" x14ac:dyDescent="0.25">
      <c r="D847" s="18" t="str">
        <f>IF($C847="","",IFERROR(INDEX(Clients!$B$5:$B$1000,MATCH($C847,Clients!$A$5:$A$1000,0)),"Unknown client ID"))</f>
        <v/>
      </c>
      <c r="E847" s="16"/>
      <c r="F847" s="16"/>
      <c r="G847" s="17"/>
      <c r="J847" s="12" t="str">
        <f>IF($A847="","",IF(COUNTIFS(Tasks!$B$5:$B$1000,$A847,Tasks!$A$5:$A$1000,"&lt;&gt;")=0,0,COUNTIFS(Tasks!$B$5:$B$1000,$A847,Tasks!$A$5:$A$1000,"&lt;&gt;",Tasks!$D$5:$D$1000,"Done")/COUNTIFS(Tasks!$B$5:$B$1000,$A847,Tasks!$A$5:$A$1000,"&lt;&gt;")))</f>
        <v/>
      </c>
      <c r="K847" s="11" t="str">
        <f>IF(OR($A847="",$F847=""),"",$F847-Overview!$B$3)</f>
        <v/>
      </c>
    </row>
    <row r="848" spans="4:11" x14ac:dyDescent="0.25">
      <c r="D848" s="18" t="str">
        <f>IF($C848="","",IFERROR(INDEX(Clients!$B$5:$B$1000,MATCH($C848,Clients!$A$5:$A$1000,0)),"Unknown client ID"))</f>
        <v/>
      </c>
      <c r="E848" s="16"/>
      <c r="F848" s="16"/>
      <c r="G848" s="17"/>
      <c r="J848" s="12" t="str">
        <f>IF($A848="","",IF(COUNTIFS(Tasks!$B$5:$B$1000,$A848,Tasks!$A$5:$A$1000,"&lt;&gt;")=0,0,COUNTIFS(Tasks!$B$5:$B$1000,$A848,Tasks!$A$5:$A$1000,"&lt;&gt;",Tasks!$D$5:$D$1000,"Done")/COUNTIFS(Tasks!$B$5:$B$1000,$A848,Tasks!$A$5:$A$1000,"&lt;&gt;")))</f>
        <v/>
      </c>
      <c r="K848" s="11" t="str">
        <f>IF(OR($A848="",$F848=""),"",$F848-Overview!$B$3)</f>
        <v/>
      </c>
    </row>
    <row r="849" spans="4:11" x14ac:dyDescent="0.25">
      <c r="D849" s="18" t="str">
        <f>IF($C849="","",IFERROR(INDEX(Clients!$B$5:$B$1000,MATCH($C849,Clients!$A$5:$A$1000,0)),"Unknown client ID"))</f>
        <v/>
      </c>
      <c r="E849" s="16"/>
      <c r="F849" s="16"/>
      <c r="G849" s="17"/>
      <c r="J849" s="12" t="str">
        <f>IF($A849="","",IF(COUNTIFS(Tasks!$B$5:$B$1000,$A849,Tasks!$A$5:$A$1000,"&lt;&gt;")=0,0,COUNTIFS(Tasks!$B$5:$B$1000,$A849,Tasks!$A$5:$A$1000,"&lt;&gt;",Tasks!$D$5:$D$1000,"Done")/COUNTIFS(Tasks!$B$5:$B$1000,$A849,Tasks!$A$5:$A$1000,"&lt;&gt;")))</f>
        <v/>
      </c>
      <c r="K849" s="11" t="str">
        <f>IF(OR($A849="",$F849=""),"",$F849-Overview!$B$3)</f>
        <v/>
      </c>
    </row>
    <row r="850" spans="4:11" x14ac:dyDescent="0.25">
      <c r="D850" s="18" t="str">
        <f>IF($C850="","",IFERROR(INDEX(Clients!$B$5:$B$1000,MATCH($C850,Clients!$A$5:$A$1000,0)),"Unknown client ID"))</f>
        <v/>
      </c>
      <c r="E850" s="16"/>
      <c r="F850" s="16"/>
      <c r="G850" s="17"/>
      <c r="J850" s="12" t="str">
        <f>IF($A850="","",IF(COUNTIFS(Tasks!$B$5:$B$1000,$A850,Tasks!$A$5:$A$1000,"&lt;&gt;")=0,0,COUNTIFS(Tasks!$B$5:$B$1000,$A850,Tasks!$A$5:$A$1000,"&lt;&gt;",Tasks!$D$5:$D$1000,"Done")/COUNTIFS(Tasks!$B$5:$B$1000,$A850,Tasks!$A$5:$A$1000,"&lt;&gt;")))</f>
        <v/>
      </c>
      <c r="K850" s="11" t="str">
        <f>IF(OR($A850="",$F850=""),"",$F850-Overview!$B$3)</f>
        <v/>
      </c>
    </row>
    <row r="851" spans="4:11" x14ac:dyDescent="0.25">
      <c r="D851" s="18" t="str">
        <f>IF($C851="","",IFERROR(INDEX(Clients!$B$5:$B$1000,MATCH($C851,Clients!$A$5:$A$1000,0)),"Unknown client ID"))</f>
        <v/>
      </c>
      <c r="E851" s="16"/>
      <c r="F851" s="16"/>
      <c r="G851" s="17"/>
      <c r="J851" s="12" t="str">
        <f>IF($A851="","",IF(COUNTIFS(Tasks!$B$5:$B$1000,$A851,Tasks!$A$5:$A$1000,"&lt;&gt;")=0,0,COUNTIFS(Tasks!$B$5:$B$1000,$A851,Tasks!$A$5:$A$1000,"&lt;&gt;",Tasks!$D$5:$D$1000,"Done")/COUNTIFS(Tasks!$B$5:$B$1000,$A851,Tasks!$A$5:$A$1000,"&lt;&gt;")))</f>
        <v/>
      </c>
      <c r="K851" s="11" t="str">
        <f>IF(OR($A851="",$F851=""),"",$F851-Overview!$B$3)</f>
        <v/>
      </c>
    </row>
    <row r="852" spans="4:11" x14ac:dyDescent="0.25">
      <c r="D852" s="18" t="str">
        <f>IF($C852="","",IFERROR(INDEX(Clients!$B$5:$B$1000,MATCH($C852,Clients!$A$5:$A$1000,0)),"Unknown client ID"))</f>
        <v/>
      </c>
      <c r="E852" s="16"/>
      <c r="F852" s="16"/>
      <c r="G852" s="17"/>
      <c r="J852" s="12" t="str">
        <f>IF($A852="","",IF(COUNTIFS(Tasks!$B$5:$B$1000,$A852,Tasks!$A$5:$A$1000,"&lt;&gt;")=0,0,COUNTIFS(Tasks!$B$5:$B$1000,$A852,Tasks!$A$5:$A$1000,"&lt;&gt;",Tasks!$D$5:$D$1000,"Done")/COUNTIFS(Tasks!$B$5:$B$1000,$A852,Tasks!$A$5:$A$1000,"&lt;&gt;")))</f>
        <v/>
      </c>
      <c r="K852" s="11" t="str">
        <f>IF(OR($A852="",$F852=""),"",$F852-Overview!$B$3)</f>
        <v/>
      </c>
    </row>
    <row r="853" spans="4:11" x14ac:dyDescent="0.25">
      <c r="D853" s="18" t="str">
        <f>IF($C853="","",IFERROR(INDEX(Clients!$B$5:$B$1000,MATCH($C853,Clients!$A$5:$A$1000,0)),"Unknown client ID"))</f>
        <v/>
      </c>
      <c r="E853" s="16"/>
      <c r="F853" s="16"/>
      <c r="G853" s="17"/>
      <c r="J853" s="12" t="str">
        <f>IF($A853="","",IF(COUNTIFS(Tasks!$B$5:$B$1000,$A853,Tasks!$A$5:$A$1000,"&lt;&gt;")=0,0,COUNTIFS(Tasks!$B$5:$B$1000,$A853,Tasks!$A$5:$A$1000,"&lt;&gt;",Tasks!$D$5:$D$1000,"Done")/COUNTIFS(Tasks!$B$5:$B$1000,$A853,Tasks!$A$5:$A$1000,"&lt;&gt;")))</f>
        <v/>
      </c>
      <c r="K853" s="11" t="str">
        <f>IF(OR($A853="",$F853=""),"",$F853-Overview!$B$3)</f>
        <v/>
      </c>
    </row>
    <row r="854" spans="4:11" x14ac:dyDescent="0.25">
      <c r="D854" s="18" t="str">
        <f>IF($C854="","",IFERROR(INDEX(Clients!$B$5:$B$1000,MATCH($C854,Clients!$A$5:$A$1000,0)),"Unknown client ID"))</f>
        <v/>
      </c>
      <c r="E854" s="16"/>
      <c r="F854" s="16"/>
      <c r="G854" s="17"/>
      <c r="J854" s="12" t="str">
        <f>IF($A854="","",IF(COUNTIFS(Tasks!$B$5:$B$1000,$A854,Tasks!$A$5:$A$1000,"&lt;&gt;")=0,0,COUNTIFS(Tasks!$B$5:$B$1000,$A854,Tasks!$A$5:$A$1000,"&lt;&gt;",Tasks!$D$5:$D$1000,"Done")/COUNTIFS(Tasks!$B$5:$B$1000,$A854,Tasks!$A$5:$A$1000,"&lt;&gt;")))</f>
        <v/>
      </c>
      <c r="K854" s="11" t="str">
        <f>IF(OR($A854="",$F854=""),"",$F854-Overview!$B$3)</f>
        <v/>
      </c>
    </row>
    <row r="855" spans="4:11" x14ac:dyDescent="0.25">
      <c r="D855" s="18" t="str">
        <f>IF($C855="","",IFERROR(INDEX(Clients!$B$5:$B$1000,MATCH($C855,Clients!$A$5:$A$1000,0)),"Unknown client ID"))</f>
        <v/>
      </c>
      <c r="E855" s="16"/>
      <c r="F855" s="16"/>
      <c r="G855" s="17"/>
      <c r="J855" s="12" t="str">
        <f>IF($A855="","",IF(COUNTIFS(Tasks!$B$5:$B$1000,$A855,Tasks!$A$5:$A$1000,"&lt;&gt;")=0,0,COUNTIFS(Tasks!$B$5:$B$1000,$A855,Tasks!$A$5:$A$1000,"&lt;&gt;",Tasks!$D$5:$D$1000,"Done")/COUNTIFS(Tasks!$B$5:$B$1000,$A855,Tasks!$A$5:$A$1000,"&lt;&gt;")))</f>
        <v/>
      </c>
      <c r="K855" s="11" t="str">
        <f>IF(OR($A855="",$F855=""),"",$F855-Overview!$B$3)</f>
        <v/>
      </c>
    </row>
    <row r="856" spans="4:11" x14ac:dyDescent="0.25">
      <c r="D856" s="18" t="str">
        <f>IF($C856="","",IFERROR(INDEX(Clients!$B$5:$B$1000,MATCH($C856,Clients!$A$5:$A$1000,0)),"Unknown client ID"))</f>
        <v/>
      </c>
      <c r="E856" s="16"/>
      <c r="F856" s="16"/>
      <c r="G856" s="17"/>
      <c r="J856" s="12" t="str">
        <f>IF($A856="","",IF(COUNTIFS(Tasks!$B$5:$B$1000,$A856,Tasks!$A$5:$A$1000,"&lt;&gt;")=0,0,COUNTIFS(Tasks!$B$5:$B$1000,$A856,Tasks!$A$5:$A$1000,"&lt;&gt;",Tasks!$D$5:$D$1000,"Done")/COUNTIFS(Tasks!$B$5:$B$1000,$A856,Tasks!$A$5:$A$1000,"&lt;&gt;")))</f>
        <v/>
      </c>
      <c r="K856" s="11" t="str">
        <f>IF(OR($A856="",$F856=""),"",$F856-Overview!$B$3)</f>
        <v/>
      </c>
    </row>
    <row r="857" spans="4:11" x14ac:dyDescent="0.25">
      <c r="D857" s="18" t="str">
        <f>IF($C857="","",IFERROR(INDEX(Clients!$B$5:$B$1000,MATCH($C857,Clients!$A$5:$A$1000,0)),"Unknown client ID"))</f>
        <v/>
      </c>
      <c r="E857" s="16"/>
      <c r="F857" s="16"/>
      <c r="G857" s="17"/>
      <c r="J857" s="12" t="str">
        <f>IF($A857="","",IF(COUNTIFS(Tasks!$B$5:$B$1000,$A857,Tasks!$A$5:$A$1000,"&lt;&gt;")=0,0,COUNTIFS(Tasks!$B$5:$B$1000,$A857,Tasks!$A$5:$A$1000,"&lt;&gt;",Tasks!$D$5:$D$1000,"Done")/COUNTIFS(Tasks!$B$5:$B$1000,$A857,Tasks!$A$5:$A$1000,"&lt;&gt;")))</f>
        <v/>
      </c>
      <c r="K857" s="11" t="str">
        <f>IF(OR($A857="",$F857=""),"",$F857-Overview!$B$3)</f>
        <v/>
      </c>
    </row>
    <row r="858" spans="4:11" x14ac:dyDescent="0.25">
      <c r="D858" s="18" t="str">
        <f>IF($C858="","",IFERROR(INDEX(Clients!$B$5:$B$1000,MATCH($C858,Clients!$A$5:$A$1000,0)),"Unknown client ID"))</f>
        <v/>
      </c>
      <c r="E858" s="16"/>
      <c r="F858" s="16"/>
      <c r="G858" s="17"/>
      <c r="J858" s="12" t="str">
        <f>IF($A858="","",IF(COUNTIFS(Tasks!$B$5:$B$1000,$A858,Tasks!$A$5:$A$1000,"&lt;&gt;")=0,0,COUNTIFS(Tasks!$B$5:$B$1000,$A858,Tasks!$A$5:$A$1000,"&lt;&gt;",Tasks!$D$5:$D$1000,"Done")/COUNTIFS(Tasks!$B$5:$B$1000,$A858,Tasks!$A$5:$A$1000,"&lt;&gt;")))</f>
        <v/>
      </c>
      <c r="K858" s="11" t="str">
        <f>IF(OR($A858="",$F858=""),"",$F858-Overview!$B$3)</f>
        <v/>
      </c>
    </row>
    <row r="859" spans="4:11" x14ac:dyDescent="0.25">
      <c r="D859" s="18" t="str">
        <f>IF($C859="","",IFERROR(INDEX(Clients!$B$5:$B$1000,MATCH($C859,Clients!$A$5:$A$1000,0)),"Unknown client ID"))</f>
        <v/>
      </c>
      <c r="E859" s="16"/>
      <c r="F859" s="16"/>
      <c r="G859" s="17"/>
      <c r="J859" s="12" t="str">
        <f>IF($A859="","",IF(COUNTIFS(Tasks!$B$5:$B$1000,$A859,Tasks!$A$5:$A$1000,"&lt;&gt;")=0,0,COUNTIFS(Tasks!$B$5:$B$1000,$A859,Tasks!$A$5:$A$1000,"&lt;&gt;",Tasks!$D$5:$D$1000,"Done")/COUNTIFS(Tasks!$B$5:$B$1000,$A859,Tasks!$A$5:$A$1000,"&lt;&gt;")))</f>
        <v/>
      </c>
      <c r="K859" s="11" t="str">
        <f>IF(OR($A859="",$F859=""),"",$F859-Overview!$B$3)</f>
        <v/>
      </c>
    </row>
    <row r="860" spans="4:11" x14ac:dyDescent="0.25">
      <c r="D860" s="18" t="str">
        <f>IF($C860="","",IFERROR(INDEX(Clients!$B$5:$B$1000,MATCH($C860,Clients!$A$5:$A$1000,0)),"Unknown client ID"))</f>
        <v/>
      </c>
      <c r="E860" s="16"/>
      <c r="F860" s="16"/>
      <c r="G860" s="17"/>
      <c r="J860" s="12" t="str">
        <f>IF($A860="","",IF(COUNTIFS(Tasks!$B$5:$B$1000,$A860,Tasks!$A$5:$A$1000,"&lt;&gt;")=0,0,COUNTIFS(Tasks!$B$5:$B$1000,$A860,Tasks!$A$5:$A$1000,"&lt;&gt;",Tasks!$D$5:$D$1000,"Done")/COUNTIFS(Tasks!$B$5:$B$1000,$A860,Tasks!$A$5:$A$1000,"&lt;&gt;")))</f>
        <v/>
      </c>
      <c r="K860" s="11" t="str">
        <f>IF(OR($A860="",$F860=""),"",$F860-Overview!$B$3)</f>
        <v/>
      </c>
    </row>
    <row r="861" spans="4:11" x14ac:dyDescent="0.25">
      <c r="D861" s="18" t="str">
        <f>IF($C861="","",IFERROR(INDEX(Clients!$B$5:$B$1000,MATCH($C861,Clients!$A$5:$A$1000,0)),"Unknown client ID"))</f>
        <v/>
      </c>
      <c r="E861" s="16"/>
      <c r="F861" s="16"/>
      <c r="G861" s="17"/>
      <c r="J861" s="12" t="str">
        <f>IF($A861="","",IF(COUNTIFS(Tasks!$B$5:$B$1000,$A861,Tasks!$A$5:$A$1000,"&lt;&gt;")=0,0,COUNTIFS(Tasks!$B$5:$B$1000,$A861,Tasks!$A$5:$A$1000,"&lt;&gt;",Tasks!$D$5:$D$1000,"Done")/COUNTIFS(Tasks!$B$5:$B$1000,$A861,Tasks!$A$5:$A$1000,"&lt;&gt;")))</f>
        <v/>
      </c>
      <c r="K861" s="11" t="str">
        <f>IF(OR($A861="",$F861=""),"",$F861-Overview!$B$3)</f>
        <v/>
      </c>
    </row>
    <row r="862" spans="4:11" x14ac:dyDescent="0.25">
      <c r="D862" s="18" t="str">
        <f>IF($C862="","",IFERROR(INDEX(Clients!$B$5:$B$1000,MATCH($C862,Clients!$A$5:$A$1000,0)),"Unknown client ID"))</f>
        <v/>
      </c>
      <c r="E862" s="16"/>
      <c r="F862" s="16"/>
      <c r="G862" s="17"/>
      <c r="J862" s="12" t="str">
        <f>IF($A862="","",IF(COUNTIFS(Tasks!$B$5:$B$1000,$A862,Tasks!$A$5:$A$1000,"&lt;&gt;")=0,0,COUNTIFS(Tasks!$B$5:$B$1000,$A862,Tasks!$A$5:$A$1000,"&lt;&gt;",Tasks!$D$5:$D$1000,"Done")/COUNTIFS(Tasks!$B$5:$B$1000,$A862,Tasks!$A$5:$A$1000,"&lt;&gt;")))</f>
        <v/>
      </c>
      <c r="K862" s="11" t="str">
        <f>IF(OR($A862="",$F862=""),"",$F862-Overview!$B$3)</f>
        <v/>
      </c>
    </row>
    <row r="863" spans="4:11" x14ac:dyDescent="0.25">
      <c r="D863" s="18" t="str">
        <f>IF($C863="","",IFERROR(INDEX(Clients!$B$5:$B$1000,MATCH($C863,Clients!$A$5:$A$1000,0)),"Unknown client ID"))</f>
        <v/>
      </c>
      <c r="E863" s="16"/>
      <c r="F863" s="16"/>
      <c r="G863" s="17"/>
      <c r="J863" s="12" t="str">
        <f>IF($A863="","",IF(COUNTIFS(Tasks!$B$5:$B$1000,$A863,Tasks!$A$5:$A$1000,"&lt;&gt;")=0,0,COUNTIFS(Tasks!$B$5:$B$1000,$A863,Tasks!$A$5:$A$1000,"&lt;&gt;",Tasks!$D$5:$D$1000,"Done")/COUNTIFS(Tasks!$B$5:$B$1000,$A863,Tasks!$A$5:$A$1000,"&lt;&gt;")))</f>
        <v/>
      </c>
      <c r="K863" s="11" t="str">
        <f>IF(OR($A863="",$F863=""),"",$F863-Overview!$B$3)</f>
        <v/>
      </c>
    </row>
    <row r="864" spans="4:11" x14ac:dyDescent="0.25">
      <c r="D864" s="18" t="str">
        <f>IF($C864="","",IFERROR(INDEX(Clients!$B$5:$B$1000,MATCH($C864,Clients!$A$5:$A$1000,0)),"Unknown client ID"))</f>
        <v/>
      </c>
      <c r="E864" s="16"/>
      <c r="F864" s="16"/>
      <c r="G864" s="17"/>
      <c r="J864" s="12" t="str">
        <f>IF($A864="","",IF(COUNTIFS(Tasks!$B$5:$B$1000,$A864,Tasks!$A$5:$A$1000,"&lt;&gt;")=0,0,COUNTIFS(Tasks!$B$5:$B$1000,$A864,Tasks!$A$5:$A$1000,"&lt;&gt;",Tasks!$D$5:$D$1000,"Done")/COUNTIFS(Tasks!$B$5:$B$1000,$A864,Tasks!$A$5:$A$1000,"&lt;&gt;")))</f>
        <v/>
      </c>
      <c r="K864" s="11" t="str">
        <f>IF(OR($A864="",$F864=""),"",$F864-Overview!$B$3)</f>
        <v/>
      </c>
    </row>
    <row r="865" spans="4:11" x14ac:dyDescent="0.25">
      <c r="D865" s="18" t="str">
        <f>IF($C865="","",IFERROR(INDEX(Clients!$B$5:$B$1000,MATCH($C865,Clients!$A$5:$A$1000,0)),"Unknown client ID"))</f>
        <v/>
      </c>
      <c r="E865" s="16"/>
      <c r="F865" s="16"/>
      <c r="G865" s="17"/>
      <c r="J865" s="12" t="str">
        <f>IF($A865="","",IF(COUNTIFS(Tasks!$B$5:$B$1000,$A865,Tasks!$A$5:$A$1000,"&lt;&gt;")=0,0,COUNTIFS(Tasks!$B$5:$B$1000,$A865,Tasks!$A$5:$A$1000,"&lt;&gt;",Tasks!$D$5:$D$1000,"Done")/COUNTIFS(Tasks!$B$5:$B$1000,$A865,Tasks!$A$5:$A$1000,"&lt;&gt;")))</f>
        <v/>
      </c>
      <c r="K865" s="11" t="str">
        <f>IF(OR($A865="",$F865=""),"",$F865-Overview!$B$3)</f>
        <v/>
      </c>
    </row>
    <row r="866" spans="4:11" x14ac:dyDescent="0.25">
      <c r="D866" s="18" t="str">
        <f>IF($C866="","",IFERROR(INDEX(Clients!$B$5:$B$1000,MATCH($C866,Clients!$A$5:$A$1000,0)),"Unknown client ID"))</f>
        <v/>
      </c>
      <c r="E866" s="16"/>
      <c r="F866" s="16"/>
      <c r="G866" s="17"/>
      <c r="J866" s="12" t="str">
        <f>IF($A866="","",IF(COUNTIFS(Tasks!$B$5:$B$1000,$A866,Tasks!$A$5:$A$1000,"&lt;&gt;")=0,0,COUNTIFS(Tasks!$B$5:$B$1000,$A866,Tasks!$A$5:$A$1000,"&lt;&gt;",Tasks!$D$5:$D$1000,"Done")/COUNTIFS(Tasks!$B$5:$B$1000,$A866,Tasks!$A$5:$A$1000,"&lt;&gt;")))</f>
        <v/>
      </c>
      <c r="K866" s="11" t="str">
        <f>IF(OR($A866="",$F866=""),"",$F866-Overview!$B$3)</f>
        <v/>
      </c>
    </row>
    <row r="867" spans="4:11" x14ac:dyDescent="0.25">
      <c r="D867" s="18" t="str">
        <f>IF($C867="","",IFERROR(INDEX(Clients!$B$5:$B$1000,MATCH($C867,Clients!$A$5:$A$1000,0)),"Unknown client ID"))</f>
        <v/>
      </c>
      <c r="E867" s="16"/>
      <c r="F867" s="16"/>
      <c r="G867" s="17"/>
      <c r="J867" s="12" t="str">
        <f>IF($A867="","",IF(COUNTIFS(Tasks!$B$5:$B$1000,$A867,Tasks!$A$5:$A$1000,"&lt;&gt;")=0,0,COUNTIFS(Tasks!$B$5:$B$1000,$A867,Tasks!$A$5:$A$1000,"&lt;&gt;",Tasks!$D$5:$D$1000,"Done")/COUNTIFS(Tasks!$B$5:$B$1000,$A867,Tasks!$A$5:$A$1000,"&lt;&gt;")))</f>
        <v/>
      </c>
      <c r="K867" s="11" t="str">
        <f>IF(OR($A867="",$F867=""),"",$F867-Overview!$B$3)</f>
        <v/>
      </c>
    </row>
    <row r="868" spans="4:11" x14ac:dyDescent="0.25">
      <c r="D868" s="18" t="str">
        <f>IF($C868="","",IFERROR(INDEX(Clients!$B$5:$B$1000,MATCH($C868,Clients!$A$5:$A$1000,0)),"Unknown client ID"))</f>
        <v/>
      </c>
      <c r="E868" s="16"/>
      <c r="F868" s="16"/>
      <c r="G868" s="17"/>
      <c r="J868" s="12" t="str">
        <f>IF($A868="","",IF(COUNTIFS(Tasks!$B$5:$B$1000,$A868,Tasks!$A$5:$A$1000,"&lt;&gt;")=0,0,COUNTIFS(Tasks!$B$5:$B$1000,$A868,Tasks!$A$5:$A$1000,"&lt;&gt;",Tasks!$D$5:$D$1000,"Done")/COUNTIFS(Tasks!$B$5:$B$1000,$A868,Tasks!$A$5:$A$1000,"&lt;&gt;")))</f>
        <v/>
      </c>
      <c r="K868" s="11" t="str">
        <f>IF(OR($A868="",$F868=""),"",$F868-Overview!$B$3)</f>
        <v/>
      </c>
    </row>
    <row r="869" spans="4:11" x14ac:dyDescent="0.25">
      <c r="D869" s="18" t="str">
        <f>IF($C869="","",IFERROR(INDEX(Clients!$B$5:$B$1000,MATCH($C869,Clients!$A$5:$A$1000,0)),"Unknown client ID"))</f>
        <v/>
      </c>
      <c r="E869" s="16"/>
      <c r="F869" s="16"/>
      <c r="G869" s="17"/>
      <c r="J869" s="12" t="str">
        <f>IF($A869="","",IF(COUNTIFS(Tasks!$B$5:$B$1000,$A869,Tasks!$A$5:$A$1000,"&lt;&gt;")=0,0,COUNTIFS(Tasks!$B$5:$B$1000,$A869,Tasks!$A$5:$A$1000,"&lt;&gt;",Tasks!$D$5:$D$1000,"Done")/COUNTIFS(Tasks!$B$5:$B$1000,$A869,Tasks!$A$5:$A$1000,"&lt;&gt;")))</f>
        <v/>
      </c>
      <c r="K869" s="11" t="str">
        <f>IF(OR($A869="",$F869=""),"",$F869-Overview!$B$3)</f>
        <v/>
      </c>
    </row>
    <row r="870" spans="4:11" x14ac:dyDescent="0.25">
      <c r="D870" s="18" t="str">
        <f>IF($C870="","",IFERROR(INDEX(Clients!$B$5:$B$1000,MATCH($C870,Clients!$A$5:$A$1000,0)),"Unknown client ID"))</f>
        <v/>
      </c>
      <c r="E870" s="16"/>
      <c r="F870" s="16"/>
      <c r="G870" s="17"/>
      <c r="J870" s="12" t="str">
        <f>IF($A870="","",IF(COUNTIFS(Tasks!$B$5:$B$1000,$A870,Tasks!$A$5:$A$1000,"&lt;&gt;")=0,0,COUNTIFS(Tasks!$B$5:$B$1000,$A870,Tasks!$A$5:$A$1000,"&lt;&gt;",Tasks!$D$5:$D$1000,"Done")/COUNTIFS(Tasks!$B$5:$B$1000,$A870,Tasks!$A$5:$A$1000,"&lt;&gt;")))</f>
        <v/>
      </c>
      <c r="K870" s="11" t="str">
        <f>IF(OR($A870="",$F870=""),"",$F870-Overview!$B$3)</f>
        <v/>
      </c>
    </row>
    <row r="871" spans="4:11" x14ac:dyDescent="0.25">
      <c r="D871" s="18" t="str">
        <f>IF($C871="","",IFERROR(INDEX(Clients!$B$5:$B$1000,MATCH($C871,Clients!$A$5:$A$1000,0)),"Unknown client ID"))</f>
        <v/>
      </c>
      <c r="E871" s="16"/>
      <c r="F871" s="16"/>
      <c r="G871" s="17"/>
      <c r="J871" s="12" t="str">
        <f>IF($A871="","",IF(COUNTIFS(Tasks!$B$5:$B$1000,$A871,Tasks!$A$5:$A$1000,"&lt;&gt;")=0,0,COUNTIFS(Tasks!$B$5:$B$1000,$A871,Tasks!$A$5:$A$1000,"&lt;&gt;",Tasks!$D$5:$D$1000,"Done")/COUNTIFS(Tasks!$B$5:$B$1000,$A871,Tasks!$A$5:$A$1000,"&lt;&gt;")))</f>
        <v/>
      </c>
      <c r="K871" s="11" t="str">
        <f>IF(OR($A871="",$F871=""),"",$F871-Overview!$B$3)</f>
        <v/>
      </c>
    </row>
    <row r="872" spans="4:11" x14ac:dyDescent="0.25">
      <c r="D872" s="18" t="str">
        <f>IF($C872="","",IFERROR(INDEX(Clients!$B$5:$B$1000,MATCH($C872,Clients!$A$5:$A$1000,0)),"Unknown client ID"))</f>
        <v/>
      </c>
      <c r="E872" s="16"/>
      <c r="F872" s="16"/>
      <c r="G872" s="17"/>
      <c r="J872" s="12" t="str">
        <f>IF($A872="","",IF(COUNTIFS(Tasks!$B$5:$B$1000,$A872,Tasks!$A$5:$A$1000,"&lt;&gt;")=0,0,COUNTIFS(Tasks!$B$5:$B$1000,$A872,Tasks!$A$5:$A$1000,"&lt;&gt;",Tasks!$D$5:$D$1000,"Done")/COUNTIFS(Tasks!$B$5:$B$1000,$A872,Tasks!$A$5:$A$1000,"&lt;&gt;")))</f>
        <v/>
      </c>
      <c r="K872" s="11" t="str">
        <f>IF(OR($A872="",$F872=""),"",$F872-Overview!$B$3)</f>
        <v/>
      </c>
    </row>
    <row r="873" spans="4:11" x14ac:dyDescent="0.25">
      <c r="D873" s="18" t="str">
        <f>IF($C873="","",IFERROR(INDEX(Clients!$B$5:$B$1000,MATCH($C873,Clients!$A$5:$A$1000,0)),"Unknown client ID"))</f>
        <v/>
      </c>
      <c r="E873" s="16"/>
      <c r="F873" s="16"/>
      <c r="G873" s="17"/>
      <c r="J873" s="12" t="str">
        <f>IF($A873="","",IF(COUNTIFS(Tasks!$B$5:$B$1000,$A873,Tasks!$A$5:$A$1000,"&lt;&gt;")=0,0,COUNTIFS(Tasks!$B$5:$B$1000,$A873,Tasks!$A$5:$A$1000,"&lt;&gt;",Tasks!$D$5:$D$1000,"Done")/COUNTIFS(Tasks!$B$5:$B$1000,$A873,Tasks!$A$5:$A$1000,"&lt;&gt;")))</f>
        <v/>
      </c>
      <c r="K873" s="11" t="str">
        <f>IF(OR($A873="",$F873=""),"",$F873-Overview!$B$3)</f>
        <v/>
      </c>
    </row>
    <row r="874" spans="4:11" x14ac:dyDescent="0.25">
      <c r="D874" s="18" t="str">
        <f>IF($C874="","",IFERROR(INDEX(Clients!$B$5:$B$1000,MATCH($C874,Clients!$A$5:$A$1000,0)),"Unknown client ID"))</f>
        <v/>
      </c>
      <c r="E874" s="16"/>
      <c r="F874" s="16"/>
      <c r="G874" s="17"/>
      <c r="J874" s="12" t="str">
        <f>IF($A874="","",IF(COUNTIFS(Tasks!$B$5:$B$1000,$A874,Tasks!$A$5:$A$1000,"&lt;&gt;")=0,0,COUNTIFS(Tasks!$B$5:$B$1000,$A874,Tasks!$A$5:$A$1000,"&lt;&gt;",Tasks!$D$5:$D$1000,"Done")/COUNTIFS(Tasks!$B$5:$B$1000,$A874,Tasks!$A$5:$A$1000,"&lt;&gt;")))</f>
        <v/>
      </c>
      <c r="K874" s="11" t="str">
        <f>IF(OR($A874="",$F874=""),"",$F874-Overview!$B$3)</f>
        <v/>
      </c>
    </row>
    <row r="875" spans="4:11" x14ac:dyDescent="0.25">
      <c r="D875" s="18" t="str">
        <f>IF($C875="","",IFERROR(INDEX(Clients!$B$5:$B$1000,MATCH($C875,Clients!$A$5:$A$1000,0)),"Unknown client ID"))</f>
        <v/>
      </c>
      <c r="E875" s="16"/>
      <c r="F875" s="16"/>
      <c r="G875" s="17"/>
      <c r="J875" s="12" t="str">
        <f>IF($A875="","",IF(COUNTIFS(Tasks!$B$5:$B$1000,$A875,Tasks!$A$5:$A$1000,"&lt;&gt;")=0,0,COUNTIFS(Tasks!$B$5:$B$1000,$A875,Tasks!$A$5:$A$1000,"&lt;&gt;",Tasks!$D$5:$D$1000,"Done")/COUNTIFS(Tasks!$B$5:$B$1000,$A875,Tasks!$A$5:$A$1000,"&lt;&gt;")))</f>
        <v/>
      </c>
      <c r="K875" s="11" t="str">
        <f>IF(OR($A875="",$F875=""),"",$F875-Overview!$B$3)</f>
        <v/>
      </c>
    </row>
    <row r="876" spans="4:11" x14ac:dyDescent="0.25">
      <c r="D876" s="18" t="str">
        <f>IF($C876="","",IFERROR(INDEX(Clients!$B$5:$B$1000,MATCH($C876,Clients!$A$5:$A$1000,0)),"Unknown client ID"))</f>
        <v/>
      </c>
      <c r="E876" s="16"/>
      <c r="F876" s="16"/>
      <c r="G876" s="17"/>
      <c r="J876" s="12" t="str">
        <f>IF($A876="","",IF(COUNTIFS(Tasks!$B$5:$B$1000,$A876,Tasks!$A$5:$A$1000,"&lt;&gt;")=0,0,COUNTIFS(Tasks!$B$5:$B$1000,$A876,Tasks!$A$5:$A$1000,"&lt;&gt;",Tasks!$D$5:$D$1000,"Done")/COUNTIFS(Tasks!$B$5:$B$1000,$A876,Tasks!$A$5:$A$1000,"&lt;&gt;")))</f>
        <v/>
      </c>
      <c r="K876" s="11" t="str">
        <f>IF(OR($A876="",$F876=""),"",$F876-Overview!$B$3)</f>
        <v/>
      </c>
    </row>
    <row r="877" spans="4:11" x14ac:dyDescent="0.25">
      <c r="D877" s="18" t="str">
        <f>IF($C877="","",IFERROR(INDEX(Clients!$B$5:$B$1000,MATCH($C877,Clients!$A$5:$A$1000,0)),"Unknown client ID"))</f>
        <v/>
      </c>
      <c r="E877" s="16"/>
      <c r="F877" s="16"/>
      <c r="G877" s="17"/>
      <c r="J877" s="12" t="str">
        <f>IF($A877="","",IF(COUNTIFS(Tasks!$B$5:$B$1000,$A877,Tasks!$A$5:$A$1000,"&lt;&gt;")=0,0,COUNTIFS(Tasks!$B$5:$B$1000,$A877,Tasks!$A$5:$A$1000,"&lt;&gt;",Tasks!$D$5:$D$1000,"Done")/COUNTIFS(Tasks!$B$5:$B$1000,$A877,Tasks!$A$5:$A$1000,"&lt;&gt;")))</f>
        <v/>
      </c>
      <c r="K877" s="11" t="str">
        <f>IF(OR($A877="",$F877=""),"",$F877-Overview!$B$3)</f>
        <v/>
      </c>
    </row>
    <row r="878" spans="4:11" x14ac:dyDescent="0.25">
      <c r="D878" s="18" t="str">
        <f>IF($C878="","",IFERROR(INDEX(Clients!$B$5:$B$1000,MATCH($C878,Clients!$A$5:$A$1000,0)),"Unknown client ID"))</f>
        <v/>
      </c>
      <c r="E878" s="16"/>
      <c r="F878" s="16"/>
      <c r="G878" s="17"/>
      <c r="J878" s="12" t="str">
        <f>IF($A878="","",IF(COUNTIFS(Tasks!$B$5:$B$1000,$A878,Tasks!$A$5:$A$1000,"&lt;&gt;")=0,0,COUNTIFS(Tasks!$B$5:$B$1000,$A878,Tasks!$A$5:$A$1000,"&lt;&gt;",Tasks!$D$5:$D$1000,"Done")/COUNTIFS(Tasks!$B$5:$B$1000,$A878,Tasks!$A$5:$A$1000,"&lt;&gt;")))</f>
        <v/>
      </c>
      <c r="K878" s="11" t="str">
        <f>IF(OR($A878="",$F878=""),"",$F878-Overview!$B$3)</f>
        <v/>
      </c>
    </row>
    <row r="879" spans="4:11" x14ac:dyDescent="0.25">
      <c r="D879" s="18" t="str">
        <f>IF($C879="","",IFERROR(INDEX(Clients!$B$5:$B$1000,MATCH($C879,Clients!$A$5:$A$1000,0)),"Unknown client ID"))</f>
        <v/>
      </c>
      <c r="E879" s="16"/>
      <c r="F879" s="16"/>
      <c r="G879" s="17"/>
      <c r="J879" s="12" t="str">
        <f>IF($A879="","",IF(COUNTIFS(Tasks!$B$5:$B$1000,$A879,Tasks!$A$5:$A$1000,"&lt;&gt;")=0,0,COUNTIFS(Tasks!$B$5:$B$1000,$A879,Tasks!$A$5:$A$1000,"&lt;&gt;",Tasks!$D$5:$D$1000,"Done")/COUNTIFS(Tasks!$B$5:$B$1000,$A879,Tasks!$A$5:$A$1000,"&lt;&gt;")))</f>
        <v/>
      </c>
      <c r="K879" s="11" t="str">
        <f>IF(OR($A879="",$F879=""),"",$F879-Overview!$B$3)</f>
        <v/>
      </c>
    </row>
    <row r="880" spans="4:11" x14ac:dyDescent="0.25">
      <c r="D880" s="18" t="str">
        <f>IF($C880="","",IFERROR(INDEX(Clients!$B$5:$B$1000,MATCH($C880,Clients!$A$5:$A$1000,0)),"Unknown client ID"))</f>
        <v/>
      </c>
      <c r="E880" s="16"/>
      <c r="F880" s="16"/>
      <c r="G880" s="17"/>
      <c r="J880" s="12" t="str">
        <f>IF($A880="","",IF(COUNTIFS(Tasks!$B$5:$B$1000,$A880,Tasks!$A$5:$A$1000,"&lt;&gt;")=0,0,COUNTIFS(Tasks!$B$5:$B$1000,$A880,Tasks!$A$5:$A$1000,"&lt;&gt;",Tasks!$D$5:$D$1000,"Done")/COUNTIFS(Tasks!$B$5:$B$1000,$A880,Tasks!$A$5:$A$1000,"&lt;&gt;")))</f>
        <v/>
      </c>
      <c r="K880" s="11" t="str">
        <f>IF(OR($A880="",$F880=""),"",$F880-Overview!$B$3)</f>
        <v/>
      </c>
    </row>
    <row r="881" spans="4:11" x14ac:dyDescent="0.25">
      <c r="D881" s="18" t="str">
        <f>IF($C881="","",IFERROR(INDEX(Clients!$B$5:$B$1000,MATCH($C881,Clients!$A$5:$A$1000,0)),"Unknown client ID"))</f>
        <v/>
      </c>
      <c r="E881" s="16"/>
      <c r="F881" s="16"/>
      <c r="G881" s="17"/>
      <c r="J881" s="12" t="str">
        <f>IF($A881="","",IF(COUNTIFS(Tasks!$B$5:$B$1000,$A881,Tasks!$A$5:$A$1000,"&lt;&gt;")=0,0,COUNTIFS(Tasks!$B$5:$B$1000,$A881,Tasks!$A$5:$A$1000,"&lt;&gt;",Tasks!$D$5:$D$1000,"Done")/COUNTIFS(Tasks!$B$5:$B$1000,$A881,Tasks!$A$5:$A$1000,"&lt;&gt;")))</f>
        <v/>
      </c>
      <c r="K881" s="11" t="str">
        <f>IF(OR($A881="",$F881=""),"",$F881-Overview!$B$3)</f>
        <v/>
      </c>
    </row>
    <row r="882" spans="4:11" x14ac:dyDescent="0.25">
      <c r="D882" s="18" t="str">
        <f>IF($C882="","",IFERROR(INDEX(Clients!$B$5:$B$1000,MATCH($C882,Clients!$A$5:$A$1000,0)),"Unknown client ID"))</f>
        <v/>
      </c>
      <c r="E882" s="16"/>
      <c r="F882" s="16"/>
      <c r="G882" s="17"/>
      <c r="J882" s="12" t="str">
        <f>IF($A882="","",IF(COUNTIFS(Tasks!$B$5:$B$1000,$A882,Tasks!$A$5:$A$1000,"&lt;&gt;")=0,0,COUNTIFS(Tasks!$B$5:$B$1000,$A882,Tasks!$A$5:$A$1000,"&lt;&gt;",Tasks!$D$5:$D$1000,"Done")/COUNTIFS(Tasks!$B$5:$B$1000,$A882,Tasks!$A$5:$A$1000,"&lt;&gt;")))</f>
        <v/>
      </c>
      <c r="K882" s="11" t="str">
        <f>IF(OR($A882="",$F882=""),"",$F882-Overview!$B$3)</f>
        <v/>
      </c>
    </row>
    <row r="883" spans="4:11" x14ac:dyDescent="0.25">
      <c r="D883" s="18" t="str">
        <f>IF($C883="","",IFERROR(INDEX(Clients!$B$5:$B$1000,MATCH($C883,Clients!$A$5:$A$1000,0)),"Unknown client ID"))</f>
        <v/>
      </c>
      <c r="E883" s="16"/>
      <c r="F883" s="16"/>
      <c r="G883" s="17"/>
      <c r="J883" s="12" t="str">
        <f>IF($A883="","",IF(COUNTIFS(Tasks!$B$5:$B$1000,$A883,Tasks!$A$5:$A$1000,"&lt;&gt;")=0,0,COUNTIFS(Tasks!$B$5:$B$1000,$A883,Tasks!$A$5:$A$1000,"&lt;&gt;",Tasks!$D$5:$D$1000,"Done")/COUNTIFS(Tasks!$B$5:$B$1000,$A883,Tasks!$A$5:$A$1000,"&lt;&gt;")))</f>
        <v/>
      </c>
      <c r="K883" s="11" t="str">
        <f>IF(OR($A883="",$F883=""),"",$F883-Overview!$B$3)</f>
        <v/>
      </c>
    </row>
    <row r="884" spans="4:11" x14ac:dyDescent="0.25">
      <c r="D884" s="18" t="str">
        <f>IF($C884="","",IFERROR(INDEX(Clients!$B$5:$B$1000,MATCH($C884,Clients!$A$5:$A$1000,0)),"Unknown client ID"))</f>
        <v/>
      </c>
      <c r="E884" s="16"/>
      <c r="F884" s="16"/>
      <c r="G884" s="17"/>
      <c r="J884" s="12" t="str">
        <f>IF($A884="","",IF(COUNTIFS(Tasks!$B$5:$B$1000,$A884,Tasks!$A$5:$A$1000,"&lt;&gt;")=0,0,COUNTIFS(Tasks!$B$5:$B$1000,$A884,Tasks!$A$5:$A$1000,"&lt;&gt;",Tasks!$D$5:$D$1000,"Done")/COUNTIFS(Tasks!$B$5:$B$1000,$A884,Tasks!$A$5:$A$1000,"&lt;&gt;")))</f>
        <v/>
      </c>
      <c r="K884" s="11" t="str">
        <f>IF(OR($A884="",$F884=""),"",$F884-Overview!$B$3)</f>
        <v/>
      </c>
    </row>
    <row r="885" spans="4:11" x14ac:dyDescent="0.25">
      <c r="D885" s="18" t="str">
        <f>IF($C885="","",IFERROR(INDEX(Clients!$B$5:$B$1000,MATCH($C885,Clients!$A$5:$A$1000,0)),"Unknown client ID"))</f>
        <v/>
      </c>
      <c r="E885" s="16"/>
      <c r="F885" s="16"/>
      <c r="G885" s="17"/>
      <c r="J885" s="12" t="str">
        <f>IF($A885="","",IF(COUNTIFS(Tasks!$B$5:$B$1000,$A885,Tasks!$A$5:$A$1000,"&lt;&gt;")=0,0,COUNTIFS(Tasks!$B$5:$B$1000,$A885,Tasks!$A$5:$A$1000,"&lt;&gt;",Tasks!$D$5:$D$1000,"Done")/COUNTIFS(Tasks!$B$5:$B$1000,$A885,Tasks!$A$5:$A$1000,"&lt;&gt;")))</f>
        <v/>
      </c>
      <c r="K885" s="11" t="str">
        <f>IF(OR($A885="",$F885=""),"",$F885-Overview!$B$3)</f>
        <v/>
      </c>
    </row>
    <row r="886" spans="4:11" x14ac:dyDescent="0.25">
      <c r="D886" s="18" t="str">
        <f>IF($C886="","",IFERROR(INDEX(Clients!$B$5:$B$1000,MATCH($C886,Clients!$A$5:$A$1000,0)),"Unknown client ID"))</f>
        <v/>
      </c>
      <c r="E886" s="16"/>
      <c r="F886" s="16"/>
      <c r="G886" s="17"/>
      <c r="J886" s="12" t="str">
        <f>IF($A886="","",IF(COUNTIFS(Tasks!$B$5:$B$1000,$A886,Tasks!$A$5:$A$1000,"&lt;&gt;")=0,0,COUNTIFS(Tasks!$B$5:$B$1000,$A886,Tasks!$A$5:$A$1000,"&lt;&gt;",Tasks!$D$5:$D$1000,"Done")/COUNTIFS(Tasks!$B$5:$B$1000,$A886,Tasks!$A$5:$A$1000,"&lt;&gt;")))</f>
        <v/>
      </c>
      <c r="K886" s="11" t="str">
        <f>IF(OR($A886="",$F886=""),"",$F886-Overview!$B$3)</f>
        <v/>
      </c>
    </row>
    <row r="887" spans="4:11" x14ac:dyDescent="0.25">
      <c r="D887" s="18" t="str">
        <f>IF($C887="","",IFERROR(INDEX(Clients!$B$5:$B$1000,MATCH($C887,Clients!$A$5:$A$1000,0)),"Unknown client ID"))</f>
        <v/>
      </c>
      <c r="E887" s="16"/>
      <c r="F887" s="16"/>
      <c r="G887" s="17"/>
      <c r="J887" s="12" t="str">
        <f>IF($A887="","",IF(COUNTIFS(Tasks!$B$5:$B$1000,$A887,Tasks!$A$5:$A$1000,"&lt;&gt;")=0,0,COUNTIFS(Tasks!$B$5:$B$1000,$A887,Tasks!$A$5:$A$1000,"&lt;&gt;",Tasks!$D$5:$D$1000,"Done")/COUNTIFS(Tasks!$B$5:$B$1000,$A887,Tasks!$A$5:$A$1000,"&lt;&gt;")))</f>
        <v/>
      </c>
      <c r="K887" s="11" t="str">
        <f>IF(OR($A887="",$F887=""),"",$F887-Overview!$B$3)</f>
        <v/>
      </c>
    </row>
    <row r="888" spans="4:11" x14ac:dyDescent="0.25">
      <c r="D888" s="18" t="str">
        <f>IF($C888="","",IFERROR(INDEX(Clients!$B$5:$B$1000,MATCH($C888,Clients!$A$5:$A$1000,0)),"Unknown client ID"))</f>
        <v/>
      </c>
      <c r="E888" s="16"/>
      <c r="F888" s="16"/>
      <c r="G888" s="17"/>
      <c r="J888" s="12" t="str">
        <f>IF($A888="","",IF(COUNTIFS(Tasks!$B$5:$B$1000,$A888,Tasks!$A$5:$A$1000,"&lt;&gt;")=0,0,COUNTIFS(Tasks!$B$5:$B$1000,$A888,Tasks!$A$5:$A$1000,"&lt;&gt;",Tasks!$D$5:$D$1000,"Done")/COUNTIFS(Tasks!$B$5:$B$1000,$A888,Tasks!$A$5:$A$1000,"&lt;&gt;")))</f>
        <v/>
      </c>
      <c r="K888" s="11" t="str">
        <f>IF(OR($A888="",$F888=""),"",$F888-Overview!$B$3)</f>
        <v/>
      </c>
    </row>
    <row r="889" spans="4:11" x14ac:dyDescent="0.25">
      <c r="D889" s="18" t="str">
        <f>IF($C889="","",IFERROR(INDEX(Clients!$B$5:$B$1000,MATCH($C889,Clients!$A$5:$A$1000,0)),"Unknown client ID"))</f>
        <v/>
      </c>
      <c r="E889" s="16"/>
      <c r="F889" s="16"/>
      <c r="G889" s="17"/>
      <c r="J889" s="12" t="str">
        <f>IF($A889="","",IF(COUNTIFS(Tasks!$B$5:$B$1000,$A889,Tasks!$A$5:$A$1000,"&lt;&gt;")=0,0,COUNTIFS(Tasks!$B$5:$B$1000,$A889,Tasks!$A$5:$A$1000,"&lt;&gt;",Tasks!$D$5:$D$1000,"Done")/COUNTIFS(Tasks!$B$5:$B$1000,$A889,Tasks!$A$5:$A$1000,"&lt;&gt;")))</f>
        <v/>
      </c>
      <c r="K889" s="11" t="str">
        <f>IF(OR($A889="",$F889=""),"",$F889-Overview!$B$3)</f>
        <v/>
      </c>
    </row>
    <row r="890" spans="4:11" x14ac:dyDescent="0.25">
      <c r="D890" s="18" t="str">
        <f>IF($C890="","",IFERROR(INDEX(Clients!$B$5:$B$1000,MATCH($C890,Clients!$A$5:$A$1000,0)),"Unknown client ID"))</f>
        <v/>
      </c>
      <c r="E890" s="16"/>
      <c r="F890" s="16"/>
      <c r="G890" s="17"/>
      <c r="J890" s="12" t="str">
        <f>IF($A890="","",IF(COUNTIFS(Tasks!$B$5:$B$1000,$A890,Tasks!$A$5:$A$1000,"&lt;&gt;")=0,0,COUNTIFS(Tasks!$B$5:$B$1000,$A890,Tasks!$A$5:$A$1000,"&lt;&gt;",Tasks!$D$5:$D$1000,"Done")/COUNTIFS(Tasks!$B$5:$B$1000,$A890,Tasks!$A$5:$A$1000,"&lt;&gt;")))</f>
        <v/>
      </c>
      <c r="K890" s="11" t="str">
        <f>IF(OR($A890="",$F890=""),"",$F890-Overview!$B$3)</f>
        <v/>
      </c>
    </row>
    <row r="891" spans="4:11" x14ac:dyDescent="0.25">
      <c r="D891" s="18" t="str">
        <f>IF($C891="","",IFERROR(INDEX(Clients!$B$5:$B$1000,MATCH($C891,Clients!$A$5:$A$1000,0)),"Unknown client ID"))</f>
        <v/>
      </c>
      <c r="E891" s="16"/>
      <c r="F891" s="16"/>
      <c r="G891" s="17"/>
      <c r="J891" s="12" t="str">
        <f>IF($A891="","",IF(COUNTIFS(Tasks!$B$5:$B$1000,$A891,Tasks!$A$5:$A$1000,"&lt;&gt;")=0,0,COUNTIFS(Tasks!$B$5:$B$1000,$A891,Tasks!$A$5:$A$1000,"&lt;&gt;",Tasks!$D$5:$D$1000,"Done")/COUNTIFS(Tasks!$B$5:$B$1000,$A891,Tasks!$A$5:$A$1000,"&lt;&gt;")))</f>
        <v/>
      </c>
      <c r="K891" s="11" t="str">
        <f>IF(OR($A891="",$F891=""),"",$F891-Overview!$B$3)</f>
        <v/>
      </c>
    </row>
    <row r="892" spans="4:11" x14ac:dyDescent="0.25">
      <c r="D892" s="18" t="str">
        <f>IF($C892="","",IFERROR(INDEX(Clients!$B$5:$B$1000,MATCH($C892,Clients!$A$5:$A$1000,0)),"Unknown client ID"))</f>
        <v/>
      </c>
      <c r="E892" s="16"/>
      <c r="F892" s="16"/>
      <c r="G892" s="17"/>
      <c r="J892" s="12" t="str">
        <f>IF($A892="","",IF(COUNTIFS(Tasks!$B$5:$B$1000,$A892,Tasks!$A$5:$A$1000,"&lt;&gt;")=0,0,COUNTIFS(Tasks!$B$5:$B$1000,$A892,Tasks!$A$5:$A$1000,"&lt;&gt;",Tasks!$D$5:$D$1000,"Done")/COUNTIFS(Tasks!$B$5:$B$1000,$A892,Tasks!$A$5:$A$1000,"&lt;&gt;")))</f>
        <v/>
      </c>
      <c r="K892" s="11" t="str">
        <f>IF(OR($A892="",$F892=""),"",$F892-Overview!$B$3)</f>
        <v/>
      </c>
    </row>
    <row r="893" spans="4:11" x14ac:dyDescent="0.25">
      <c r="D893" s="18" t="str">
        <f>IF($C893="","",IFERROR(INDEX(Clients!$B$5:$B$1000,MATCH($C893,Clients!$A$5:$A$1000,0)),"Unknown client ID"))</f>
        <v/>
      </c>
      <c r="E893" s="16"/>
      <c r="F893" s="16"/>
      <c r="G893" s="17"/>
      <c r="J893" s="12" t="str">
        <f>IF($A893="","",IF(COUNTIFS(Tasks!$B$5:$B$1000,$A893,Tasks!$A$5:$A$1000,"&lt;&gt;")=0,0,COUNTIFS(Tasks!$B$5:$B$1000,$A893,Tasks!$A$5:$A$1000,"&lt;&gt;",Tasks!$D$5:$D$1000,"Done")/COUNTIFS(Tasks!$B$5:$B$1000,$A893,Tasks!$A$5:$A$1000,"&lt;&gt;")))</f>
        <v/>
      </c>
      <c r="K893" s="11" t="str">
        <f>IF(OR($A893="",$F893=""),"",$F893-Overview!$B$3)</f>
        <v/>
      </c>
    </row>
    <row r="894" spans="4:11" x14ac:dyDescent="0.25">
      <c r="D894" s="18" t="str">
        <f>IF($C894="","",IFERROR(INDEX(Clients!$B$5:$B$1000,MATCH($C894,Clients!$A$5:$A$1000,0)),"Unknown client ID"))</f>
        <v/>
      </c>
      <c r="E894" s="16"/>
      <c r="F894" s="16"/>
      <c r="G894" s="17"/>
      <c r="J894" s="12" t="str">
        <f>IF($A894="","",IF(COUNTIFS(Tasks!$B$5:$B$1000,$A894,Tasks!$A$5:$A$1000,"&lt;&gt;")=0,0,COUNTIFS(Tasks!$B$5:$B$1000,$A894,Tasks!$A$5:$A$1000,"&lt;&gt;",Tasks!$D$5:$D$1000,"Done")/COUNTIFS(Tasks!$B$5:$B$1000,$A894,Tasks!$A$5:$A$1000,"&lt;&gt;")))</f>
        <v/>
      </c>
      <c r="K894" s="11" t="str">
        <f>IF(OR($A894="",$F894=""),"",$F894-Overview!$B$3)</f>
        <v/>
      </c>
    </row>
    <row r="895" spans="4:11" x14ac:dyDescent="0.25">
      <c r="D895" s="18" t="str">
        <f>IF($C895="","",IFERROR(INDEX(Clients!$B$5:$B$1000,MATCH($C895,Clients!$A$5:$A$1000,0)),"Unknown client ID"))</f>
        <v/>
      </c>
      <c r="E895" s="16"/>
      <c r="F895" s="16"/>
      <c r="G895" s="17"/>
      <c r="J895" s="12" t="str">
        <f>IF($A895="","",IF(COUNTIFS(Tasks!$B$5:$B$1000,$A895,Tasks!$A$5:$A$1000,"&lt;&gt;")=0,0,COUNTIFS(Tasks!$B$5:$B$1000,$A895,Tasks!$A$5:$A$1000,"&lt;&gt;",Tasks!$D$5:$D$1000,"Done")/COUNTIFS(Tasks!$B$5:$B$1000,$A895,Tasks!$A$5:$A$1000,"&lt;&gt;")))</f>
        <v/>
      </c>
      <c r="K895" s="11" t="str">
        <f>IF(OR($A895="",$F895=""),"",$F895-Overview!$B$3)</f>
        <v/>
      </c>
    </row>
    <row r="896" spans="4:11" x14ac:dyDescent="0.25">
      <c r="D896" s="18" t="str">
        <f>IF($C896="","",IFERROR(INDEX(Clients!$B$5:$B$1000,MATCH($C896,Clients!$A$5:$A$1000,0)),"Unknown client ID"))</f>
        <v/>
      </c>
      <c r="E896" s="16"/>
      <c r="F896" s="16"/>
      <c r="G896" s="17"/>
      <c r="J896" s="12" t="str">
        <f>IF($A896="","",IF(COUNTIFS(Tasks!$B$5:$B$1000,$A896,Tasks!$A$5:$A$1000,"&lt;&gt;")=0,0,COUNTIFS(Tasks!$B$5:$B$1000,$A896,Tasks!$A$5:$A$1000,"&lt;&gt;",Tasks!$D$5:$D$1000,"Done")/COUNTIFS(Tasks!$B$5:$B$1000,$A896,Tasks!$A$5:$A$1000,"&lt;&gt;")))</f>
        <v/>
      </c>
      <c r="K896" s="11" t="str">
        <f>IF(OR($A896="",$F896=""),"",$F896-Overview!$B$3)</f>
        <v/>
      </c>
    </row>
    <row r="897" spans="4:11" x14ac:dyDescent="0.25">
      <c r="D897" s="18" t="str">
        <f>IF($C897="","",IFERROR(INDEX(Clients!$B$5:$B$1000,MATCH($C897,Clients!$A$5:$A$1000,0)),"Unknown client ID"))</f>
        <v/>
      </c>
      <c r="E897" s="16"/>
      <c r="F897" s="16"/>
      <c r="G897" s="17"/>
      <c r="J897" s="12" t="str">
        <f>IF($A897="","",IF(COUNTIFS(Tasks!$B$5:$B$1000,$A897,Tasks!$A$5:$A$1000,"&lt;&gt;")=0,0,COUNTIFS(Tasks!$B$5:$B$1000,$A897,Tasks!$A$5:$A$1000,"&lt;&gt;",Tasks!$D$5:$D$1000,"Done")/COUNTIFS(Tasks!$B$5:$B$1000,$A897,Tasks!$A$5:$A$1000,"&lt;&gt;")))</f>
        <v/>
      </c>
      <c r="K897" s="11" t="str">
        <f>IF(OR($A897="",$F897=""),"",$F897-Overview!$B$3)</f>
        <v/>
      </c>
    </row>
    <row r="898" spans="4:11" x14ac:dyDescent="0.25">
      <c r="D898" s="18" t="str">
        <f>IF($C898="","",IFERROR(INDEX(Clients!$B$5:$B$1000,MATCH($C898,Clients!$A$5:$A$1000,0)),"Unknown client ID"))</f>
        <v/>
      </c>
      <c r="E898" s="16"/>
      <c r="F898" s="16"/>
      <c r="G898" s="17"/>
      <c r="J898" s="12" t="str">
        <f>IF($A898="","",IF(COUNTIFS(Tasks!$B$5:$B$1000,$A898,Tasks!$A$5:$A$1000,"&lt;&gt;")=0,0,COUNTIFS(Tasks!$B$5:$B$1000,$A898,Tasks!$A$5:$A$1000,"&lt;&gt;",Tasks!$D$5:$D$1000,"Done")/COUNTIFS(Tasks!$B$5:$B$1000,$A898,Tasks!$A$5:$A$1000,"&lt;&gt;")))</f>
        <v/>
      </c>
      <c r="K898" s="11" t="str">
        <f>IF(OR($A898="",$F898=""),"",$F898-Overview!$B$3)</f>
        <v/>
      </c>
    </row>
    <row r="899" spans="4:11" x14ac:dyDescent="0.25">
      <c r="D899" s="18" t="str">
        <f>IF($C899="","",IFERROR(INDEX(Clients!$B$5:$B$1000,MATCH($C899,Clients!$A$5:$A$1000,0)),"Unknown client ID"))</f>
        <v/>
      </c>
      <c r="E899" s="16"/>
      <c r="F899" s="16"/>
      <c r="G899" s="17"/>
      <c r="J899" s="12" t="str">
        <f>IF($A899="","",IF(COUNTIFS(Tasks!$B$5:$B$1000,$A899,Tasks!$A$5:$A$1000,"&lt;&gt;")=0,0,COUNTIFS(Tasks!$B$5:$B$1000,$A899,Tasks!$A$5:$A$1000,"&lt;&gt;",Tasks!$D$5:$D$1000,"Done")/COUNTIFS(Tasks!$B$5:$B$1000,$A899,Tasks!$A$5:$A$1000,"&lt;&gt;")))</f>
        <v/>
      </c>
      <c r="K899" s="11" t="str">
        <f>IF(OR($A899="",$F899=""),"",$F899-Overview!$B$3)</f>
        <v/>
      </c>
    </row>
    <row r="900" spans="4:11" x14ac:dyDescent="0.25">
      <c r="D900" s="18" t="str">
        <f>IF($C900="","",IFERROR(INDEX(Clients!$B$5:$B$1000,MATCH($C900,Clients!$A$5:$A$1000,0)),"Unknown client ID"))</f>
        <v/>
      </c>
      <c r="E900" s="16"/>
      <c r="F900" s="16"/>
      <c r="G900" s="17"/>
      <c r="J900" s="12" t="str">
        <f>IF($A900="","",IF(COUNTIFS(Tasks!$B$5:$B$1000,$A900,Tasks!$A$5:$A$1000,"&lt;&gt;")=0,0,COUNTIFS(Tasks!$B$5:$B$1000,$A900,Tasks!$A$5:$A$1000,"&lt;&gt;",Tasks!$D$5:$D$1000,"Done")/COUNTIFS(Tasks!$B$5:$B$1000,$A900,Tasks!$A$5:$A$1000,"&lt;&gt;")))</f>
        <v/>
      </c>
      <c r="K900" s="11" t="str">
        <f>IF(OR($A900="",$F900=""),"",$F900-Overview!$B$3)</f>
        <v/>
      </c>
    </row>
    <row r="901" spans="4:11" x14ac:dyDescent="0.25">
      <c r="D901" s="18" t="str">
        <f>IF($C901="","",IFERROR(INDEX(Clients!$B$5:$B$1000,MATCH($C901,Clients!$A$5:$A$1000,0)),"Unknown client ID"))</f>
        <v/>
      </c>
      <c r="E901" s="16"/>
      <c r="F901" s="16"/>
      <c r="G901" s="17"/>
      <c r="J901" s="12" t="str">
        <f>IF($A901="","",IF(COUNTIFS(Tasks!$B$5:$B$1000,$A901,Tasks!$A$5:$A$1000,"&lt;&gt;")=0,0,COUNTIFS(Tasks!$B$5:$B$1000,$A901,Tasks!$A$5:$A$1000,"&lt;&gt;",Tasks!$D$5:$D$1000,"Done")/COUNTIFS(Tasks!$B$5:$B$1000,$A901,Tasks!$A$5:$A$1000,"&lt;&gt;")))</f>
        <v/>
      </c>
      <c r="K901" s="11" t="str">
        <f>IF(OR($A901="",$F901=""),"",$F901-Overview!$B$3)</f>
        <v/>
      </c>
    </row>
    <row r="902" spans="4:11" x14ac:dyDescent="0.25">
      <c r="D902" s="18" t="str">
        <f>IF($C902="","",IFERROR(INDEX(Clients!$B$5:$B$1000,MATCH($C902,Clients!$A$5:$A$1000,0)),"Unknown client ID"))</f>
        <v/>
      </c>
      <c r="E902" s="16"/>
      <c r="F902" s="16"/>
      <c r="G902" s="17"/>
      <c r="J902" s="12" t="str">
        <f>IF($A902="","",IF(COUNTIFS(Tasks!$B$5:$B$1000,$A902,Tasks!$A$5:$A$1000,"&lt;&gt;")=0,0,COUNTIFS(Tasks!$B$5:$B$1000,$A902,Tasks!$A$5:$A$1000,"&lt;&gt;",Tasks!$D$5:$D$1000,"Done")/COUNTIFS(Tasks!$B$5:$B$1000,$A902,Tasks!$A$5:$A$1000,"&lt;&gt;")))</f>
        <v/>
      </c>
      <c r="K902" s="11" t="str">
        <f>IF(OR($A902="",$F902=""),"",$F902-Overview!$B$3)</f>
        <v/>
      </c>
    </row>
    <row r="903" spans="4:11" x14ac:dyDescent="0.25">
      <c r="D903" s="18" t="str">
        <f>IF($C903="","",IFERROR(INDEX(Clients!$B$5:$B$1000,MATCH($C903,Clients!$A$5:$A$1000,0)),"Unknown client ID"))</f>
        <v/>
      </c>
      <c r="E903" s="16"/>
      <c r="F903" s="16"/>
      <c r="G903" s="17"/>
      <c r="J903" s="12" t="str">
        <f>IF($A903="","",IF(COUNTIFS(Tasks!$B$5:$B$1000,$A903,Tasks!$A$5:$A$1000,"&lt;&gt;")=0,0,COUNTIFS(Tasks!$B$5:$B$1000,$A903,Tasks!$A$5:$A$1000,"&lt;&gt;",Tasks!$D$5:$D$1000,"Done")/COUNTIFS(Tasks!$B$5:$B$1000,$A903,Tasks!$A$5:$A$1000,"&lt;&gt;")))</f>
        <v/>
      </c>
      <c r="K903" s="11" t="str">
        <f>IF(OR($A903="",$F903=""),"",$F903-Overview!$B$3)</f>
        <v/>
      </c>
    </row>
    <row r="904" spans="4:11" x14ac:dyDescent="0.25">
      <c r="D904" s="18" t="str">
        <f>IF($C904="","",IFERROR(INDEX(Clients!$B$5:$B$1000,MATCH($C904,Clients!$A$5:$A$1000,0)),"Unknown client ID"))</f>
        <v/>
      </c>
      <c r="E904" s="16"/>
      <c r="F904" s="16"/>
      <c r="G904" s="17"/>
      <c r="J904" s="12" t="str">
        <f>IF($A904="","",IF(COUNTIFS(Tasks!$B$5:$B$1000,$A904,Tasks!$A$5:$A$1000,"&lt;&gt;")=0,0,COUNTIFS(Tasks!$B$5:$B$1000,$A904,Tasks!$A$5:$A$1000,"&lt;&gt;",Tasks!$D$5:$D$1000,"Done")/COUNTIFS(Tasks!$B$5:$B$1000,$A904,Tasks!$A$5:$A$1000,"&lt;&gt;")))</f>
        <v/>
      </c>
      <c r="K904" s="11" t="str">
        <f>IF(OR($A904="",$F904=""),"",$F904-Overview!$B$3)</f>
        <v/>
      </c>
    </row>
    <row r="905" spans="4:11" x14ac:dyDescent="0.25">
      <c r="D905" s="18" t="str">
        <f>IF($C905="","",IFERROR(INDEX(Clients!$B$5:$B$1000,MATCH($C905,Clients!$A$5:$A$1000,0)),"Unknown client ID"))</f>
        <v/>
      </c>
      <c r="E905" s="16"/>
      <c r="F905" s="16"/>
      <c r="G905" s="17"/>
      <c r="J905" s="12" t="str">
        <f>IF($A905="","",IF(COUNTIFS(Tasks!$B$5:$B$1000,$A905,Tasks!$A$5:$A$1000,"&lt;&gt;")=0,0,COUNTIFS(Tasks!$B$5:$B$1000,$A905,Tasks!$A$5:$A$1000,"&lt;&gt;",Tasks!$D$5:$D$1000,"Done")/COUNTIFS(Tasks!$B$5:$B$1000,$A905,Tasks!$A$5:$A$1000,"&lt;&gt;")))</f>
        <v/>
      </c>
      <c r="K905" s="11" t="str">
        <f>IF(OR($A905="",$F905=""),"",$F905-Overview!$B$3)</f>
        <v/>
      </c>
    </row>
    <row r="906" spans="4:11" x14ac:dyDescent="0.25">
      <c r="D906" s="18" t="str">
        <f>IF($C906="","",IFERROR(INDEX(Clients!$B$5:$B$1000,MATCH($C906,Clients!$A$5:$A$1000,0)),"Unknown client ID"))</f>
        <v/>
      </c>
      <c r="E906" s="16"/>
      <c r="F906" s="16"/>
      <c r="G906" s="17"/>
      <c r="J906" s="12" t="str">
        <f>IF($A906="","",IF(COUNTIFS(Tasks!$B$5:$B$1000,$A906,Tasks!$A$5:$A$1000,"&lt;&gt;")=0,0,COUNTIFS(Tasks!$B$5:$B$1000,$A906,Tasks!$A$5:$A$1000,"&lt;&gt;",Tasks!$D$5:$D$1000,"Done")/COUNTIFS(Tasks!$B$5:$B$1000,$A906,Tasks!$A$5:$A$1000,"&lt;&gt;")))</f>
        <v/>
      </c>
      <c r="K906" s="11" t="str">
        <f>IF(OR($A906="",$F906=""),"",$F906-Overview!$B$3)</f>
        <v/>
      </c>
    </row>
    <row r="907" spans="4:11" x14ac:dyDescent="0.25">
      <c r="D907" s="18" t="str">
        <f>IF($C907="","",IFERROR(INDEX(Clients!$B$5:$B$1000,MATCH($C907,Clients!$A$5:$A$1000,0)),"Unknown client ID"))</f>
        <v/>
      </c>
      <c r="E907" s="16"/>
      <c r="F907" s="16"/>
      <c r="G907" s="17"/>
      <c r="J907" s="12" t="str">
        <f>IF($A907="","",IF(COUNTIFS(Tasks!$B$5:$B$1000,$A907,Tasks!$A$5:$A$1000,"&lt;&gt;")=0,0,COUNTIFS(Tasks!$B$5:$B$1000,$A907,Tasks!$A$5:$A$1000,"&lt;&gt;",Tasks!$D$5:$D$1000,"Done")/COUNTIFS(Tasks!$B$5:$B$1000,$A907,Tasks!$A$5:$A$1000,"&lt;&gt;")))</f>
        <v/>
      </c>
      <c r="K907" s="11" t="str">
        <f>IF(OR($A907="",$F907=""),"",$F907-Overview!$B$3)</f>
        <v/>
      </c>
    </row>
    <row r="908" spans="4:11" x14ac:dyDescent="0.25">
      <c r="D908" s="18" t="str">
        <f>IF($C908="","",IFERROR(INDEX(Clients!$B$5:$B$1000,MATCH($C908,Clients!$A$5:$A$1000,0)),"Unknown client ID"))</f>
        <v/>
      </c>
      <c r="E908" s="16"/>
      <c r="F908" s="16"/>
      <c r="G908" s="17"/>
      <c r="J908" s="12" t="str">
        <f>IF($A908="","",IF(COUNTIFS(Tasks!$B$5:$B$1000,$A908,Tasks!$A$5:$A$1000,"&lt;&gt;")=0,0,COUNTIFS(Tasks!$B$5:$B$1000,$A908,Tasks!$A$5:$A$1000,"&lt;&gt;",Tasks!$D$5:$D$1000,"Done")/COUNTIFS(Tasks!$B$5:$B$1000,$A908,Tasks!$A$5:$A$1000,"&lt;&gt;")))</f>
        <v/>
      </c>
      <c r="K908" s="11" t="str">
        <f>IF(OR($A908="",$F908=""),"",$F908-Overview!$B$3)</f>
        <v/>
      </c>
    </row>
    <row r="909" spans="4:11" x14ac:dyDescent="0.25">
      <c r="D909" s="18" t="str">
        <f>IF($C909="","",IFERROR(INDEX(Clients!$B$5:$B$1000,MATCH($C909,Clients!$A$5:$A$1000,0)),"Unknown client ID"))</f>
        <v/>
      </c>
      <c r="E909" s="16"/>
      <c r="F909" s="16"/>
      <c r="G909" s="17"/>
      <c r="J909" s="12" t="str">
        <f>IF($A909="","",IF(COUNTIFS(Tasks!$B$5:$B$1000,$A909,Tasks!$A$5:$A$1000,"&lt;&gt;")=0,0,COUNTIFS(Tasks!$B$5:$B$1000,$A909,Tasks!$A$5:$A$1000,"&lt;&gt;",Tasks!$D$5:$D$1000,"Done")/COUNTIFS(Tasks!$B$5:$B$1000,$A909,Tasks!$A$5:$A$1000,"&lt;&gt;")))</f>
        <v/>
      </c>
      <c r="K909" s="11" t="str">
        <f>IF(OR($A909="",$F909=""),"",$F909-Overview!$B$3)</f>
        <v/>
      </c>
    </row>
    <row r="910" spans="4:11" x14ac:dyDescent="0.25">
      <c r="D910" s="18" t="str">
        <f>IF($C910="","",IFERROR(INDEX(Clients!$B$5:$B$1000,MATCH($C910,Clients!$A$5:$A$1000,0)),"Unknown client ID"))</f>
        <v/>
      </c>
      <c r="E910" s="16"/>
      <c r="F910" s="16"/>
      <c r="G910" s="17"/>
      <c r="J910" s="12" t="str">
        <f>IF($A910="","",IF(COUNTIFS(Tasks!$B$5:$B$1000,$A910,Tasks!$A$5:$A$1000,"&lt;&gt;")=0,0,COUNTIFS(Tasks!$B$5:$B$1000,$A910,Tasks!$A$5:$A$1000,"&lt;&gt;",Tasks!$D$5:$D$1000,"Done")/COUNTIFS(Tasks!$B$5:$B$1000,$A910,Tasks!$A$5:$A$1000,"&lt;&gt;")))</f>
        <v/>
      </c>
      <c r="K910" s="11" t="str">
        <f>IF(OR($A910="",$F910=""),"",$F910-Overview!$B$3)</f>
        <v/>
      </c>
    </row>
    <row r="911" spans="4:11" x14ac:dyDescent="0.25">
      <c r="D911" s="18" t="str">
        <f>IF($C911="","",IFERROR(INDEX(Clients!$B$5:$B$1000,MATCH($C911,Clients!$A$5:$A$1000,0)),"Unknown client ID"))</f>
        <v/>
      </c>
      <c r="E911" s="16"/>
      <c r="F911" s="16"/>
      <c r="G911" s="17"/>
      <c r="J911" s="12" t="str">
        <f>IF($A911="","",IF(COUNTIFS(Tasks!$B$5:$B$1000,$A911,Tasks!$A$5:$A$1000,"&lt;&gt;")=0,0,COUNTIFS(Tasks!$B$5:$B$1000,$A911,Tasks!$A$5:$A$1000,"&lt;&gt;",Tasks!$D$5:$D$1000,"Done")/COUNTIFS(Tasks!$B$5:$B$1000,$A911,Tasks!$A$5:$A$1000,"&lt;&gt;")))</f>
        <v/>
      </c>
      <c r="K911" s="11" t="str">
        <f>IF(OR($A911="",$F911=""),"",$F911-Overview!$B$3)</f>
        <v/>
      </c>
    </row>
    <row r="912" spans="4:11" x14ac:dyDescent="0.25">
      <c r="D912" s="18" t="str">
        <f>IF($C912="","",IFERROR(INDEX(Clients!$B$5:$B$1000,MATCH($C912,Clients!$A$5:$A$1000,0)),"Unknown client ID"))</f>
        <v/>
      </c>
      <c r="E912" s="16"/>
      <c r="F912" s="16"/>
      <c r="G912" s="17"/>
      <c r="J912" s="12" t="str">
        <f>IF($A912="","",IF(COUNTIFS(Tasks!$B$5:$B$1000,$A912,Tasks!$A$5:$A$1000,"&lt;&gt;")=0,0,COUNTIFS(Tasks!$B$5:$B$1000,$A912,Tasks!$A$5:$A$1000,"&lt;&gt;",Tasks!$D$5:$D$1000,"Done")/COUNTIFS(Tasks!$B$5:$B$1000,$A912,Tasks!$A$5:$A$1000,"&lt;&gt;")))</f>
        <v/>
      </c>
      <c r="K912" s="11" t="str">
        <f>IF(OR($A912="",$F912=""),"",$F912-Overview!$B$3)</f>
        <v/>
      </c>
    </row>
    <row r="913" spans="4:11" x14ac:dyDescent="0.25">
      <c r="D913" s="18" t="str">
        <f>IF($C913="","",IFERROR(INDEX(Clients!$B$5:$B$1000,MATCH($C913,Clients!$A$5:$A$1000,0)),"Unknown client ID"))</f>
        <v/>
      </c>
      <c r="E913" s="16"/>
      <c r="F913" s="16"/>
      <c r="G913" s="17"/>
      <c r="J913" s="12" t="str">
        <f>IF($A913="","",IF(COUNTIFS(Tasks!$B$5:$B$1000,$A913,Tasks!$A$5:$A$1000,"&lt;&gt;")=0,0,COUNTIFS(Tasks!$B$5:$B$1000,$A913,Tasks!$A$5:$A$1000,"&lt;&gt;",Tasks!$D$5:$D$1000,"Done")/COUNTIFS(Tasks!$B$5:$B$1000,$A913,Tasks!$A$5:$A$1000,"&lt;&gt;")))</f>
        <v/>
      </c>
      <c r="K913" s="11" t="str">
        <f>IF(OR($A913="",$F913=""),"",$F913-Overview!$B$3)</f>
        <v/>
      </c>
    </row>
    <row r="914" spans="4:11" x14ac:dyDescent="0.25">
      <c r="D914" s="18" t="str">
        <f>IF($C914="","",IFERROR(INDEX(Clients!$B$5:$B$1000,MATCH($C914,Clients!$A$5:$A$1000,0)),"Unknown client ID"))</f>
        <v/>
      </c>
      <c r="E914" s="16"/>
      <c r="F914" s="16"/>
      <c r="G914" s="17"/>
      <c r="J914" s="12" t="str">
        <f>IF($A914="","",IF(COUNTIFS(Tasks!$B$5:$B$1000,$A914,Tasks!$A$5:$A$1000,"&lt;&gt;")=0,0,COUNTIFS(Tasks!$B$5:$B$1000,$A914,Tasks!$A$5:$A$1000,"&lt;&gt;",Tasks!$D$5:$D$1000,"Done")/COUNTIFS(Tasks!$B$5:$B$1000,$A914,Tasks!$A$5:$A$1000,"&lt;&gt;")))</f>
        <v/>
      </c>
      <c r="K914" s="11" t="str">
        <f>IF(OR($A914="",$F914=""),"",$F914-Overview!$B$3)</f>
        <v/>
      </c>
    </row>
    <row r="915" spans="4:11" x14ac:dyDescent="0.25">
      <c r="D915" s="18" t="str">
        <f>IF($C915="","",IFERROR(INDEX(Clients!$B$5:$B$1000,MATCH($C915,Clients!$A$5:$A$1000,0)),"Unknown client ID"))</f>
        <v/>
      </c>
      <c r="E915" s="16"/>
      <c r="F915" s="16"/>
      <c r="G915" s="17"/>
      <c r="J915" s="12" t="str">
        <f>IF($A915="","",IF(COUNTIFS(Tasks!$B$5:$B$1000,$A915,Tasks!$A$5:$A$1000,"&lt;&gt;")=0,0,COUNTIFS(Tasks!$B$5:$B$1000,$A915,Tasks!$A$5:$A$1000,"&lt;&gt;",Tasks!$D$5:$D$1000,"Done")/COUNTIFS(Tasks!$B$5:$B$1000,$A915,Tasks!$A$5:$A$1000,"&lt;&gt;")))</f>
        <v/>
      </c>
      <c r="K915" s="11" t="str">
        <f>IF(OR($A915="",$F915=""),"",$F915-Overview!$B$3)</f>
        <v/>
      </c>
    </row>
    <row r="916" spans="4:11" x14ac:dyDescent="0.25">
      <c r="D916" s="18" t="str">
        <f>IF($C916="","",IFERROR(INDEX(Clients!$B$5:$B$1000,MATCH($C916,Clients!$A$5:$A$1000,0)),"Unknown client ID"))</f>
        <v/>
      </c>
      <c r="E916" s="16"/>
      <c r="F916" s="16"/>
      <c r="G916" s="17"/>
      <c r="J916" s="12" t="str">
        <f>IF($A916="","",IF(COUNTIFS(Tasks!$B$5:$B$1000,$A916,Tasks!$A$5:$A$1000,"&lt;&gt;")=0,0,COUNTIFS(Tasks!$B$5:$B$1000,$A916,Tasks!$A$5:$A$1000,"&lt;&gt;",Tasks!$D$5:$D$1000,"Done")/COUNTIFS(Tasks!$B$5:$B$1000,$A916,Tasks!$A$5:$A$1000,"&lt;&gt;")))</f>
        <v/>
      </c>
      <c r="K916" s="11" t="str">
        <f>IF(OR($A916="",$F916=""),"",$F916-Overview!$B$3)</f>
        <v/>
      </c>
    </row>
    <row r="917" spans="4:11" x14ac:dyDescent="0.25">
      <c r="D917" s="18" t="str">
        <f>IF($C917="","",IFERROR(INDEX(Clients!$B$5:$B$1000,MATCH($C917,Clients!$A$5:$A$1000,0)),"Unknown client ID"))</f>
        <v/>
      </c>
      <c r="E917" s="16"/>
      <c r="F917" s="16"/>
      <c r="G917" s="17"/>
      <c r="J917" s="12" t="str">
        <f>IF($A917="","",IF(COUNTIFS(Tasks!$B$5:$B$1000,$A917,Tasks!$A$5:$A$1000,"&lt;&gt;")=0,0,COUNTIFS(Tasks!$B$5:$B$1000,$A917,Tasks!$A$5:$A$1000,"&lt;&gt;",Tasks!$D$5:$D$1000,"Done")/COUNTIFS(Tasks!$B$5:$B$1000,$A917,Tasks!$A$5:$A$1000,"&lt;&gt;")))</f>
        <v/>
      </c>
      <c r="K917" s="11" t="str">
        <f>IF(OR($A917="",$F917=""),"",$F917-Overview!$B$3)</f>
        <v/>
      </c>
    </row>
    <row r="918" spans="4:11" x14ac:dyDescent="0.25">
      <c r="D918" s="18" t="str">
        <f>IF($C918="","",IFERROR(INDEX(Clients!$B$5:$B$1000,MATCH($C918,Clients!$A$5:$A$1000,0)),"Unknown client ID"))</f>
        <v/>
      </c>
      <c r="E918" s="16"/>
      <c r="F918" s="16"/>
      <c r="G918" s="17"/>
      <c r="J918" s="12" t="str">
        <f>IF($A918="","",IF(COUNTIFS(Tasks!$B$5:$B$1000,$A918,Tasks!$A$5:$A$1000,"&lt;&gt;")=0,0,COUNTIFS(Tasks!$B$5:$B$1000,$A918,Tasks!$A$5:$A$1000,"&lt;&gt;",Tasks!$D$5:$D$1000,"Done")/COUNTIFS(Tasks!$B$5:$B$1000,$A918,Tasks!$A$5:$A$1000,"&lt;&gt;")))</f>
        <v/>
      </c>
      <c r="K918" s="11" t="str">
        <f>IF(OR($A918="",$F918=""),"",$F918-Overview!$B$3)</f>
        <v/>
      </c>
    </row>
    <row r="919" spans="4:11" x14ac:dyDescent="0.25">
      <c r="D919" s="18" t="str">
        <f>IF($C919="","",IFERROR(INDEX(Clients!$B$5:$B$1000,MATCH($C919,Clients!$A$5:$A$1000,0)),"Unknown client ID"))</f>
        <v/>
      </c>
      <c r="E919" s="16"/>
      <c r="F919" s="16"/>
      <c r="G919" s="17"/>
      <c r="J919" s="12" t="str">
        <f>IF($A919="","",IF(COUNTIFS(Tasks!$B$5:$B$1000,$A919,Tasks!$A$5:$A$1000,"&lt;&gt;")=0,0,COUNTIFS(Tasks!$B$5:$B$1000,$A919,Tasks!$A$5:$A$1000,"&lt;&gt;",Tasks!$D$5:$D$1000,"Done")/COUNTIFS(Tasks!$B$5:$B$1000,$A919,Tasks!$A$5:$A$1000,"&lt;&gt;")))</f>
        <v/>
      </c>
      <c r="K919" s="11" t="str">
        <f>IF(OR($A919="",$F919=""),"",$F919-Overview!$B$3)</f>
        <v/>
      </c>
    </row>
    <row r="920" spans="4:11" x14ac:dyDescent="0.25">
      <c r="D920" s="18" t="str">
        <f>IF($C920="","",IFERROR(INDEX(Clients!$B$5:$B$1000,MATCH($C920,Clients!$A$5:$A$1000,0)),"Unknown client ID"))</f>
        <v/>
      </c>
      <c r="E920" s="16"/>
      <c r="F920" s="16"/>
      <c r="G920" s="17"/>
      <c r="J920" s="12" t="str">
        <f>IF($A920="","",IF(COUNTIFS(Tasks!$B$5:$B$1000,$A920,Tasks!$A$5:$A$1000,"&lt;&gt;")=0,0,COUNTIFS(Tasks!$B$5:$B$1000,$A920,Tasks!$A$5:$A$1000,"&lt;&gt;",Tasks!$D$5:$D$1000,"Done")/COUNTIFS(Tasks!$B$5:$B$1000,$A920,Tasks!$A$5:$A$1000,"&lt;&gt;")))</f>
        <v/>
      </c>
      <c r="K920" s="11" t="str">
        <f>IF(OR($A920="",$F920=""),"",$F920-Overview!$B$3)</f>
        <v/>
      </c>
    </row>
    <row r="921" spans="4:11" x14ac:dyDescent="0.25">
      <c r="D921" s="18" t="str">
        <f>IF($C921="","",IFERROR(INDEX(Clients!$B$5:$B$1000,MATCH($C921,Clients!$A$5:$A$1000,0)),"Unknown client ID"))</f>
        <v/>
      </c>
      <c r="E921" s="16"/>
      <c r="F921" s="16"/>
      <c r="G921" s="17"/>
      <c r="J921" s="12" t="str">
        <f>IF($A921="","",IF(COUNTIFS(Tasks!$B$5:$B$1000,$A921,Tasks!$A$5:$A$1000,"&lt;&gt;")=0,0,COUNTIFS(Tasks!$B$5:$B$1000,$A921,Tasks!$A$5:$A$1000,"&lt;&gt;",Tasks!$D$5:$D$1000,"Done")/COUNTIFS(Tasks!$B$5:$B$1000,$A921,Tasks!$A$5:$A$1000,"&lt;&gt;")))</f>
        <v/>
      </c>
      <c r="K921" s="11" t="str">
        <f>IF(OR($A921="",$F921=""),"",$F921-Overview!$B$3)</f>
        <v/>
      </c>
    </row>
    <row r="922" spans="4:11" x14ac:dyDescent="0.25">
      <c r="D922" s="18" t="str">
        <f>IF($C922="","",IFERROR(INDEX(Clients!$B$5:$B$1000,MATCH($C922,Clients!$A$5:$A$1000,0)),"Unknown client ID"))</f>
        <v/>
      </c>
      <c r="E922" s="16"/>
      <c r="F922" s="16"/>
      <c r="G922" s="17"/>
      <c r="J922" s="12" t="str">
        <f>IF($A922="","",IF(COUNTIFS(Tasks!$B$5:$B$1000,$A922,Tasks!$A$5:$A$1000,"&lt;&gt;")=0,0,COUNTIFS(Tasks!$B$5:$B$1000,$A922,Tasks!$A$5:$A$1000,"&lt;&gt;",Tasks!$D$5:$D$1000,"Done")/COUNTIFS(Tasks!$B$5:$B$1000,$A922,Tasks!$A$5:$A$1000,"&lt;&gt;")))</f>
        <v/>
      </c>
      <c r="K922" s="11" t="str">
        <f>IF(OR($A922="",$F922=""),"",$F922-Overview!$B$3)</f>
        <v/>
      </c>
    </row>
    <row r="923" spans="4:11" x14ac:dyDescent="0.25">
      <c r="D923" s="18" t="str">
        <f>IF($C923="","",IFERROR(INDEX(Clients!$B$5:$B$1000,MATCH($C923,Clients!$A$5:$A$1000,0)),"Unknown client ID"))</f>
        <v/>
      </c>
      <c r="E923" s="16"/>
      <c r="F923" s="16"/>
      <c r="G923" s="17"/>
      <c r="J923" s="12" t="str">
        <f>IF($A923="","",IF(COUNTIFS(Tasks!$B$5:$B$1000,$A923,Tasks!$A$5:$A$1000,"&lt;&gt;")=0,0,COUNTIFS(Tasks!$B$5:$B$1000,$A923,Tasks!$A$5:$A$1000,"&lt;&gt;",Tasks!$D$5:$D$1000,"Done")/COUNTIFS(Tasks!$B$5:$B$1000,$A923,Tasks!$A$5:$A$1000,"&lt;&gt;")))</f>
        <v/>
      </c>
      <c r="K923" s="11" t="str">
        <f>IF(OR($A923="",$F923=""),"",$F923-Overview!$B$3)</f>
        <v/>
      </c>
    </row>
    <row r="924" spans="4:11" x14ac:dyDescent="0.25">
      <c r="D924" s="18" t="str">
        <f>IF($C924="","",IFERROR(INDEX(Clients!$B$5:$B$1000,MATCH($C924,Clients!$A$5:$A$1000,0)),"Unknown client ID"))</f>
        <v/>
      </c>
      <c r="E924" s="16"/>
      <c r="F924" s="16"/>
      <c r="G924" s="17"/>
      <c r="J924" s="12" t="str">
        <f>IF($A924="","",IF(COUNTIFS(Tasks!$B$5:$B$1000,$A924,Tasks!$A$5:$A$1000,"&lt;&gt;")=0,0,COUNTIFS(Tasks!$B$5:$B$1000,$A924,Tasks!$A$5:$A$1000,"&lt;&gt;",Tasks!$D$5:$D$1000,"Done")/COUNTIFS(Tasks!$B$5:$B$1000,$A924,Tasks!$A$5:$A$1000,"&lt;&gt;")))</f>
        <v/>
      </c>
      <c r="K924" s="11" t="str">
        <f>IF(OR($A924="",$F924=""),"",$F924-Overview!$B$3)</f>
        <v/>
      </c>
    </row>
    <row r="925" spans="4:11" x14ac:dyDescent="0.25">
      <c r="D925" s="18" t="str">
        <f>IF($C925="","",IFERROR(INDEX(Clients!$B$5:$B$1000,MATCH($C925,Clients!$A$5:$A$1000,0)),"Unknown client ID"))</f>
        <v/>
      </c>
      <c r="E925" s="16"/>
      <c r="F925" s="16"/>
      <c r="G925" s="17"/>
      <c r="J925" s="12" t="str">
        <f>IF($A925="","",IF(COUNTIFS(Tasks!$B$5:$B$1000,$A925,Tasks!$A$5:$A$1000,"&lt;&gt;")=0,0,COUNTIFS(Tasks!$B$5:$B$1000,$A925,Tasks!$A$5:$A$1000,"&lt;&gt;",Tasks!$D$5:$D$1000,"Done")/COUNTIFS(Tasks!$B$5:$B$1000,$A925,Tasks!$A$5:$A$1000,"&lt;&gt;")))</f>
        <v/>
      </c>
      <c r="K925" s="11" t="str">
        <f>IF(OR($A925="",$F925=""),"",$F925-Overview!$B$3)</f>
        <v/>
      </c>
    </row>
    <row r="926" spans="4:11" x14ac:dyDescent="0.25">
      <c r="D926" s="18" t="str">
        <f>IF($C926="","",IFERROR(INDEX(Clients!$B$5:$B$1000,MATCH($C926,Clients!$A$5:$A$1000,0)),"Unknown client ID"))</f>
        <v/>
      </c>
      <c r="E926" s="16"/>
      <c r="F926" s="16"/>
      <c r="G926" s="17"/>
      <c r="J926" s="12" t="str">
        <f>IF($A926="","",IF(COUNTIFS(Tasks!$B$5:$B$1000,$A926,Tasks!$A$5:$A$1000,"&lt;&gt;")=0,0,COUNTIFS(Tasks!$B$5:$B$1000,$A926,Tasks!$A$5:$A$1000,"&lt;&gt;",Tasks!$D$5:$D$1000,"Done")/COUNTIFS(Tasks!$B$5:$B$1000,$A926,Tasks!$A$5:$A$1000,"&lt;&gt;")))</f>
        <v/>
      </c>
      <c r="K926" s="11" t="str">
        <f>IF(OR($A926="",$F926=""),"",$F926-Overview!$B$3)</f>
        <v/>
      </c>
    </row>
    <row r="927" spans="4:11" x14ac:dyDescent="0.25">
      <c r="D927" s="18" t="str">
        <f>IF($C927="","",IFERROR(INDEX(Clients!$B$5:$B$1000,MATCH($C927,Clients!$A$5:$A$1000,0)),"Unknown client ID"))</f>
        <v/>
      </c>
      <c r="E927" s="16"/>
      <c r="F927" s="16"/>
      <c r="G927" s="17"/>
      <c r="J927" s="12" t="str">
        <f>IF($A927="","",IF(COUNTIFS(Tasks!$B$5:$B$1000,$A927,Tasks!$A$5:$A$1000,"&lt;&gt;")=0,0,COUNTIFS(Tasks!$B$5:$B$1000,$A927,Tasks!$A$5:$A$1000,"&lt;&gt;",Tasks!$D$5:$D$1000,"Done")/COUNTIFS(Tasks!$B$5:$B$1000,$A927,Tasks!$A$5:$A$1000,"&lt;&gt;")))</f>
        <v/>
      </c>
      <c r="K927" s="11" t="str">
        <f>IF(OR($A927="",$F927=""),"",$F927-Overview!$B$3)</f>
        <v/>
      </c>
    </row>
    <row r="928" spans="4:11" x14ac:dyDescent="0.25">
      <c r="D928" s="18" t="str">
        <f>IF($C928="","",IFERROR(INDEX(Clients!$B$5:$B$1000,MATCH($C928,Clients!$A$5:$A$1000,0)),"Unknown client ID"))</f>
        <v/>
      </c>
      <c r="E928" s="16"/>
      <c r="F928" s="16"/>
      <c r="G928" s="17"/>
      <c r="J928" s="12" t="str">
        <f>IF($A928="","",IF(COUNTIFS(Tasks!$B$5:$B$1000,$A928,Tasks!$A$5:$A$1000,"&lt;&gt;")=0,0,COUNTIFS(Tasks!$B$5:$B$1000,$A928,Tasks!$A$5:$A$1000,"&lt;&gt;",Tasks!$D$5:$D$1000,"Done")/COUNTIFS(Tasks!$B$5:$B$1000,$A928,Tasks!$A$5:$A$1000,"&lt;&gt;")))</f>
        <v/>
      </c>
      <c r="K928" s="11" t="str">
        <f>IF(OR($A928="",$F928=""),"",$F928-Overview!$B$3)</f>
        <v/>
      </c>
    </row>
    <row r="929" spans="4:11" x14ac:dyDescent="0.25">
      <c r="D929" s="18" t="str">
        <f>IF($C929="","",IFERROR(INDEX(Clients!$B$5:$B$1000,MATCH($C929,Clients!$A$5:$A$1000,0)),"Unknown client ID"))</f>
        <v/>
      </c>
      <c r="E929" s="16"/>
      <c r="F929" s="16"/>
      <c r="G929" s="17"/>
      <c r="J929" s="12" t="str">
        <f>IF($A929="","",IF(COUNTIFS(Tasks!$B$5:$B$1000,$A929,Tasks!$A$5:$A$1000,"&lt;&gt;")=0,0,COUNTIFS(Tasks!$B$5:$B$1000,$A929,Tasks!$A$5:$A$1000,"&lt;&gt;",Tasks!$D$5:$D$1000,"Done")/COUNTIFS(Tasks!$B$5:$B$1000,$A929,Tasks!$A$5:$A$1000,"&lt;&gt;")))</f>
        <v/>
      </c>
      <c r="K929" s="11" t="str">
        <f>IF(OR($A929="",$F929=""),"",$F929-Overview!$B$3)</f>
        <v/>
      </c>
    </row>
    <row r="930" spans="4:11" x14ac:dyDescent="0.25">
      <c r="D930" s="18" t="str">
        <f>IF($C930="","",IFERROR(INDEX(Clients!$B$5:$B$1000,MATCH($C930,Clients!$A$5:$A$1000,0)),"Unknown client ID"))</f>
        <v/>
      </c>
      <c r="E930" s="16"/>
      <c r="F930" s="16"/>
      <c r="G930" s="17"/>
      <c r="J930" s="12" t="str">
        <f>IF($A930="","",IF(COUNTIFS(Tasks!$B$5:$B$1000,$A930,Tasks!$A$5:$A$1000,"&lt;&gt;")=0,0,COUNTIFS(Tasks!$B$5:$B$1000,$A930,Tasks!$A$5:$A$1000,"&lt;&gt;",Tasks!$D$5:$D$1000,"Done")/COUNTIFS(Tasks!$B$5:$B$1000,$A930,Tasks!$A$5:$A$1000,"&lt;&gt;")))</f>
        <v/>
      </c>
      <c r="K930" s="11" t="str">
        <f>IF(OR($A930="",$F930=""),"",$F930-Overview!$B$3)</f>
        <v/>
      </c>
    </row>
    <row r="931" spans="4:11" x14ac:dyDescent="0.25">
      <c r="D931" s="18" t="str">
        <f>IF($C931="","",IFERROR(INDEX(Clients!$B$5:$B$1000,MATCH($C931,Clients!$A$5:$A$1000,0)),"Unknown client ID"))</f>
        <v/>
      </c>
      <c r="E931" s="16"/>
      <c r="F931" s="16"/>
      <c r="G931" s="17"/>
      <c r="J931" s="12" t="str">
        <f>IF($A931="","",IF(COUNTIFS(Tasks!$B$5:$B$1000,$A931,Tasks!$A$5:$A$1000,"&lt;&gt;")=0,0,COUNTIFS(Tasks!$B$5:$B$1000,$A931,Tasks!$A$5:$A$1000,"&lt;&gt;",Tasks!$D$5:$D$1000,"Done")/COUNTIFS(Tasks!$B$5:$B$1000,$A931,Tasks!$A$5:$A$1000,"&lt;&gt;")))</f>
        <v/>
      </c>
      <c r="K931" s="11" t="str">
        <f>IF(OR($A931="",$F931=""),"",$F931-Overview!$B$3)</f>
        <v/>
      </c>
    </row>
    <row r="932" spans="4:11" x14ac:dyDescent="0.25">
      <c r="D932" s="18" t="str">
        <f>IF($C932="","",IFERROR(INDEX(Clients!$B$5:$B$1000,MATCH($C932,Clients!$A$5:$A$1000,0)),"Unknown client ID"))</f>
        <v/>
      </c>
      <c r="E932" s="16"/>
      <c r="F932" s="16"/>
      <c r="G932" s="17"/>
      <c r="J932" s="12" t="str">
        <f>IF($A932="","",IF(COUNTIFS(Tasks!$B$5:$B$1000,$A932,Tasks!$A$5:$A$1000,"&lt;&gt;")=0,0,COUNTIFS(Tasks!$B$5:$B$1000,$A932,Tasks!$A$5:$A$1000,"&lt;&gt;",Tasks!$D$5:$D$1000,"Done")/COUNTIFS(Tasks!$B$5:$B$1000,$A932,Tasks!$A$5:$A$1000,"&lt;&gt;")))</f>
        <v/>
      </c>
      <c r="K932" s="11" t="str">
        <f>IF(OR($A932="",$F932=""),"",$F932-Overview!$B$3)</f>
        <v/>
      </c>
    </row>
    <row r="933" spans="4:11" x14ac:dyDescent="0.25">
      <c r="D933" s="18" t="str">
        <f>IF($C933="","",IFERROR(INDEX(Clients!$B$5:$B$1000,MATCH($C933,Clients!$A$5:$A$1000,0)),"Unknown client ID"))</f>
        <v/>
      </c>
      <c r="E933" s="16"/>
      <c r="F933" s="16"/>
      <c r="G933" s="17"/>
      <c r="J933" s="12" t="str">
        <f>IF($A933="","",IF(COUNTIFS(Tasks!$B$5:$B$1000,$A933,Tasks!$A$5:$A$1000,"&lt;&gt;")=0,0,COUNTIFS(Tasks!$B$5:$B$1000,$A933,Tasks!$A$5:$A$1000,"&lt;&gt;",Tasks!$D$5:$D$1000,"Done")/COUNTIFS(Tasks!$B$5:$B$1000,$A933,Tasks!$A$5:$A$1000,"&lt;&gt;")))</f>
        <v/>
      </c>
      <c r="K933" s="11" t="str">
        <f>IF(OR($A933="",$F933=""),"",$F933-Overview!$B$3)</f>
        <v/>
      </c>
    </row>
    <row r="934" spans="4:11" x14ac:dyDescent="0.25">
      <c r="D934" s="18" t="str">
        <f>IF($C934="","",IFERROR(INDEX(Clients!$B$5:$B$1000,MATCH($C934,Clients!$A$5:$A$1000,0)),"Unknown client ID"))</f>
        <v/>
      </c>
      <c r="E934" s="16"/>
      <c r="F934" s="16"/>
      <c r="G934" s="17"/>
      <c r="J934" s="12" t="str">
        <f>IF($A934="","",IF(COUNTIFS(Tasks!$B$5:$B$1000,$A934,Tasks!$A$5:$A$1000,"&lt;&gt;")=0,0,COUNTIFS(Tasks!$B$5:$B$1000,$A934,Tasks!$A$5:$A$1000,"&lt;&gt;",Tasks!$D$5:$D$1000,"Done")/COUNTIFS(Tasks!$B$5:$B$1000,$A934,Tasks!$A$5:$A$1000,"&lt;&gt;")))</f>
        <v/>
      </c>
      <c r="K934" s="11" t="str">
        <f>IF(OR($A934="",$F934=""),"",$F934-Overview!$B$3)</f>
        <v/>
      </c>
    </row>
    <row r="935" spans="4:11" x14ac:dyDescent="0.25">
      <c r="D935" s="18" t="str">
        <f>IF($C935="","",IFERROR(INDEX(Clients!$B$5:$B$1000,MATCH($C935,Clients!$A$5:$A$1000,0)),"Unknown client ID"))</f>
        <v/>
      </c>
      <c r="E935" s="16"/>
      <c r="F935" s="16"/>
      <c r="G935" s="17"/>
      <c r="J935" s="12" t="str">
        <f>IF($A935="","",IF(COUNTIFS(Tasks!$B$5:$B$1000,$A935,Tasks!$A$5:$A$1000,"&lt;&gt;")=0,0,COUNTIFS(Tasks!$B$5:$B$1000,$A935,Tasks!$A$5:$A$1000,"&lt;&gt;",Tasks!$D$5:$D$1000,"Done")/COUNTIFS(Tasks!$B$5:$B$1000,$A935,Tasks!$A$5:$A$1000,"&lt;&gt;")))</f>
        <v/>
      </c>
      <c r="K935" s="11" t="str">
        <f>IF(OR($A935="",$F935=""),"",$F935-Overview!$B$3)</f>
        <v/>
      </c>
    </row>
    <row r="936" spans="4:11" x14ac:dyDescent="0.25">
      <c r="D936" s="18" t="str">
        <f>IF($C936="","",IFERROR(INDEX(Clients!$B$5:$B$1000,MATCH($C936,Clients!$A$5:$A$1000,0)),"Unknown client ID"))</f>
        <v/>
      </c>
      <c r="E936" s="16"/>
      <c r="F936" s="16"/>
      <c r="G936" s="17"/>
      <c r="J936" s="12" t="str">
        <f>IF($A936="","",IF(COUNTIFS(Tasks!$B$5:$B$1000,$A936,Tasks!$A$5:$A$1000,"&lt;&gt;")=0,0,COUNTIFS(Tasks!$B$5:$B$1000,$A936,Tasks!$A$5:$A$1000,"&lt;&gt;",Tasks!$D$5:$D$1000,"Done")/COUNTIFS(Tasks!$B$5:$B$1000,$A936,Tasks!$A$5:$A$1000,"&lt;&gt;")))</f>
        <v/>
      </c>
      <c r="K936" s="11" t="str">
        <f>IF(OR($A936="",$F936=""),"",$F936-Overview!$B$3)</f>
        <v/>
      </c>
    </row>
    <row r="937" spans="4:11" x14ac:dyDescent="0.25">
      <c r="D937" s="18" t="str">
        <f>IF($C937="","",IFERROR(INDEX(Clients!$B$5:$B$1000,MATCH($C937,Clients!$A$5:$A$1000,0)),"Unknown client ID"))</f>
        <v/>
      </c>
      <c r="E937" s="16"/>
      <c r="F937" s="16"/>
      <c r="G937" s="17"/>
      <c r="J937" s="12" t="str">
        <f>IF($A937="","",IF(COUNTIFS(Tasks!$B$5:$B$1000,$A937,Tasks!$A$5:$A$1000,"&lt;&gt;")=0,0,COUNTIFS(Tasks!$B$5:$B$1000,$A937,Tasks!$A$5:$A$1000,"&lt;&gt;",Tasks!$D$5:$D$1000,"Done")/COUNTIFS(Tasks!$B$5:$B$1000,$A937,Tasks!$A$5:$A$1000,"&lt;&gt;")))</f>
        <v/>
      </c>
      <c r="K937" s="11" t="str">
        <f>IF(OR($A937="",$F937=""),"",$F937-Overview!$B$3)</f>
        <v/>
      </c>
    </row>
    <row r="938" spans="4:11" x14ac:dyDescent="0.25">
      <c r="D938" s="18" t="str">
        <f>IF($C938="","",IFERROR(INDEX(Clients!$B$5:$B$1000,MATCH($C938,Clients!$A$5:$A$1000,0)),"Unknown client ID"))</f>
        <v/>
      </c>
      <c r="E938" s="16"/>
      <c r="F938" s="16"/>
      <c r="G938" s="17"/>
      <c r="J938" s="12" t="str">
        <f>IF($A938="","",IF(COUNTIFS(Tasks!$B$5:$B$1000,$A938,Tasks!$A$5:$A$1000,"&lt;&gt;")=0,0,COUNTIFS(Tasks!$B$5:$B$1000,$A938,Tasks!$A$5:$A$1000,"&lt;&gt;",Tasks!$D$5:$D$1000,"Done")/COUNTIFS(Tasks!$B$5:$B$1000,$A938,Tasks!$A$5:$A$1000,"&lt;&gt;")))</f>
        <v/>
      </c>
      <c r="K938" s="11" t="str">
        <f>IF(OR($A938="",$F938=""),"",$F938-Overview!$B$3)</f>
        <v/>
      </c>
    </row>
    <row r="939" spans="4:11" x14ac:dyDescent="0.25">
      <c r="D939" s="18" t="str">
        <f>IF($C939="","",IFERROR(INDEX(Clients!$B$5:$B$1000,MATCH($C939,Clients!$A$5:$A$1000,0)),"Unknown client ID"))</f>
        <v/>
      </c>
      <c r="E939" s="16"/>
      <c r="F939" s="16"/>
      <c r="G939" s="17"/>
      <c r="J939" s="12" t="str">
        <f>IF($A939="","",IF(COUNTIFS(Tasks!$B$5:$B$1000,$A939,Tasks!$A$5:$A$1000,"&lt;&gt;")=0,0,COUNTIFS(Tasks!$B$5:$B$1000,$A939,Tasks!$A$5:$A$1000,"&lt;&gt;",Tasks!$D$5:$D$1000,"Done")/COUNTIFS(Tasks!$B$5:$B$1000,$A939,Tasks!$A$5:$A$1000,"&lt;&gt;")))</f>
        <v/>
      </c>
      <c r="K939" s="11" t="str">
        <f>IF(OR($A939="",$F939=""),"",$F939-Overview!$B$3)</f>
        <v/>
      </c>
    </row>
    <row r="940" spans="4:11" x14ac:dyDescent="0.25">
      <c r="D940" s="18" t="str">
        <f>IF($C940="","",IFERROR(INDEX(Clients!$B$5:$B$1000,MATCH($C940,Clients!$A$5:$A$1000,0)),"Unknown client ID"))</f>
        <v/>
      </c>
      <c r="E940" s="16"/>
      <c r="F940" s="16"/>
      <c r="G940" s="17"/>
      <c r="J940" s="12" t="str">
        <f>IF($A940="","",IF(COUNTIFS(Tasks!$B$5:$B$1000,$A940,Tasks!$A$5:$A$1000,"&lt;&gt;")=0,0,COUNTIFS(Tasks!$B$5:$B$1000,$A940,Tasks!$A$5:$A$1000,"&lt;&gt;",Tasks!$D$5:$D$1000,"Done")/COUNTIFS(Tasks!$B$5:$B$1000,$A940,Tasks!$A$5:$A$1000,"&lt;&gt;")))</f>
        <v/>
      </c>
      <c r="K940" s="11" t="str">
        <f>IF(OR($A940="",$F940=""),"",$F940-Overview!$B$3)</f>
        <v/>
      </c>
    </row>
    <row r="941" spans="4:11" x14ac:dyDescent="0.25">
      <c r="D941" s="18" t="str">
        <f>IF($C941="","",IFERROR(INDEX(Clients!$B$5:$B$1000,MATCH($C941,Clients!$A$5:$A$1000,0)),"Unknown client ID"))</f>
        <v/>
      </c>
      <c r="E941" s="16"/>
      <c r="F941" s="16"/>
      <c r="G941" s="17"/>
      <c r="J941" s="12" t="str">
        <f>IF($A941="","",IF(COUNTIFS(Tasks!$B$5:$B$1000,$A941,Tasks!$A$5:$A$1000,"&lt;&gt;")=0,0,COUNTIFS(Tasks!$B$5:$B$1000,$A941,Tasks!$A$5:$A$1000,"&lt;&gt;",Tasks!$D$5:$D$1000,"Done")/COUNTIFS(Tasks!$B$5:$B$1000,$A941,Tasks!$A$5:$A$1000,"&lt;&gt;")))</f>
        <v/>
      </c>
      <c r="K941" s="11" t="str">
        <f>IF(OR($A941="",$F941=""),"",$F941-Overview!$B$3)</f>
        <v/>
      </c>
    </row>
    <row r="942" spans="4:11" x14ac:dyDescent="0.25">
      <c r="D942" s="18" t="str">
        <f>IF($C942="","",IFERROR(INDEX(Clients!$B$5:$B$1000,MATCH($C942,Clients!$A$5:$A$1000,0)),"Unknown client ID"))</f>
        <v/>
      </c>
      <c r="E942" s="16"/>
      <c r="F942" s="16"/>
      <c r="G942" s="17"/>
      <c r="J942" s="12" t="str">
        <f>IF($A942="","",IF(COUNTIFS(Tasks!$B$5:$B$1000,$A942,Tasks!$A$5:$A$1000,"&lt;&gt;")=0,0,COUNTIFS(Tasks!$B$5:$B$1000,$A942,Tasks!$A$5:$A$1000,"&lt;&gt;",Tasks!$D$5:$D$1000,"Done")/COUNTIFS(Tasks!$B$5:$B$1000,$A942,Tasks!$A$5:$A$1000,"&lt;&gt;")))</f>
        <v/>
      </c>
      <c r="K942" s="11" t="str">
        <f>IF(OR($A942="",$F942=""),"",$F942-Overview!$B$3)</f>
        <v/>
      </c>
    </row>
    <row r="943" spans="4:11" x14ac:dyDescent="0.25">
      <c r="D943" s="18" t="str">
        <f>IF($C943="","",IFERROR(INDEX(Clients!$B$5:$B$1000,MATCH($C943,Clients!$A$5:$A$1000,0)),"Unknown client ID"))</f>
        <v/>
      </c>
      <c r="E943" s="16"/>
      <c r="F943" s="16"/>
      <c r="G943" s="17"/>
      <c r="J943" s="12" t="str">
        <f>IF($A943="","",IF(COUNTIFS(Tasks!$B$5:$B$1000,$A943,Tasks!$A$5:$A$1000,"&lt;&gt;")=0,0,COUNTIFS(Tasks!$B$5:$B$1000,$A943,Tasks!$A$5:$A$1000,"&lt;&gt;",Tasks!$D$5:$D$1000,"Done")/COUNTIFS(Tasks!$B$5:$B$1000,$A943,Tasks!$A$5:$A$1000,"&lt;&gt;")))</f>
        <v/>
      </c>
      <c r="K943" s="11" t="str">
        <f>IF(OR($A943="",$F943=""),"",$F943-Overview!$B$3)</f>
        <v/>
      </c>
    </row>
    <row r="944" spans="4:11" x14ac:dyDescent="0.25">
      <c r="D944" s="18" t="str">
        <f>IF($C944="","",IFERROR(INDEX(Clients!$B$5:$B$1000,MATCH($C944,Clients!$A$5:$A$1000,0)),"Unknown client ID"))</f>
        <v/>
      </c>
      <c r="E944" s="16"/>
      <c r="F944" s="16"/>
      <c r="G944" s="17"/>
      <c r="J944" s="12" t="str">
        <f>IF($A944="","",IF(COUNTIFS(Tasks!$B$5:$B$1000,$A944,Tasks!$A$5:$A$1000,"&lt;&gt;")=0,0,COUNTIFS(Tasks!$B$5:$B$1000,$A944,Tasks!$A$5:$A$1000,"&lt;&gt;",Tasks!$D$5:$D$1000,"Done")/COUNTIFS(Tasks!$B$5:$B$1000,$A944,Tasks!$A$5:$A$1000,"&lt;&gt;")))</f>
        <v/>
      </c>
      <c r="K944" s="11" t="str">
        <f>IF(OR($A944="",$F944=""),"",$F944-Overview!$B$3)</f>
        <v/>
      </c>
    </row>
    <row r="945" spans="4:11" x14ac:dyDescent="0.25">
      <c r="D945" s="18" t="str">
        <f>IF($C945="","",IFERROR(INDEX(Clients!$B$5:$B$1000,MATCH($C945,Clients!$A$5:$A$1000,0)),"Unknown client ID"))</f>
        <v/>
      </c>
      <c r="E945" s="16"/>
      <c r="F945" s="16"/>
      <c r="G945" s="17"/>
      <c r="J945" s="12" t="str">
        <f>IF($A945="","",IF(COUNTIFS(Tasks!$B$5:$B$1000,$A945,Tasks!$A$5:$A$1000,"&lt;&gt;")=0,0,COUNTIFS(Tasks!$B$5:$B$1000,$A945,Tasks!$A$5:$A$1000,"&lt;&gt;",Tasks!$D$5:$D$1000,"Done")/COUNTIFS(Tasks!$B$5:$B$1000,$A945,Tasks!$A$5:$A$1000,"&lt;&gt;")))</f>
        <v/>
      </c>
      <c r="K945" s="11" t="str">
        <f>IF(OR($A945="",$F945=""),"",$F945-Overview!$B$3)</f>
        <v/>
      </c>
    </row>
    <row r="946" spans="4:11" x14ac:dyDescent="0.25">
      <c r="D946" s="18" t="str">
        <f>IF($C946="","",IFERROR(INDEX(Clients!$B$5:$B$1000,MATCH($C946,Clients!$A$5:$A$1000,0)),"Unknown client ID"))</f>
        <v/>
      </c>
      <c r="E946" s="16"/>
      <c r="F946" s="16"/>
      <c r="G946" s="17"/>
      <c r="J946" s="12" t="str">
        <f>IF($A946="","",IF(COUNTIFS(Tasks!$B$5:$B$1000,$A946,Tasks!$A$5:$A$1000,"&lt;&gt;")=0,0,COUNTIFS(Tasks!$B$5:$B$1000,$A946,Tasks!$A$5:$A$1000,"&lt;&gt;",Tasks!$D$5:$D$1000,"Done")/COUNTIFS(Tasks!$B$5:$B$1000,$A946,Tasks!$A$5:$A$1000,"&lt;&gt;")))</f>
        <v/>
      </c>
      <c r="K946" s="11" t="str">
        <f>IF(OR($A946="",$F946=""),"",$F946-Overview!$B$3)</f>
        <v/>
      </c>
    </row>
    <row r="947" spans="4:11" x14ac:dyDescent="0.25">
      <c r="D947" s="18" t="str">
        <f>IF($C947="","",IFERROR(INDEX(Clients!$B$5:$B$1000,MATCH($C947,Clients!$A$5:$A$1000,0)),"Unknown client ID"))</f>
        <v/>
      </c>
      <c r="E947" s="16"/>
      <c r="F947" s="16"/>
      <c r="G947" s="17"/>
      <c r="J947" s="12" t="str">
        <f>IF($A947="","",IF(COUNTIFS(Tasks!$B$5:$B$1000,$A947,Tasks!$A$5:$A$1000,"&lt;&gt;")=0,0,COUNTIFS(Tasks!$B$5:$B$1000,$A947,Tasks!$A$5:$A$1000,"&lt;&gt;",Tasks!$D$5:$D$1000,"Done")/COUNTIFS(Tasks!$B$5:$B$1000,$A947,Tasks!$A$5:$A$1000,"&lt;&gt;")))</f>
        <v/>
      </c>
      <c r="K947" s="11" t="str">
        <f>IF(OR($A947="",$F947=""),"",$F947-Overview!$B$3)</f>
        <v/>
      </c>
    </row>
    <row r="948" spans="4:11" x14ac:dyDescent="0.25">
      <c r="D948" s="18" t="str">
        <f>IF($C948="","",IFERROR(INDEX(Clients!$B$5:$B$1000,MATCH($C948,Clients!$A$5:$A$1000,0)),"Unknown client ID"))</f>
        <v/>
      </c>
      <c r="E948" s="16"/>
      <c r="F948" s="16"/>
      <c r="G948" s="17"/>
      <c r="J948" s="12" t="str">
        <f>IF($A948="","",IF(COUNTIFS(Tasks!$B$5:$B$1000,$A948,Tasks!$A$5:$A$1000,"&lt;&gt;")=0,0,COUNTIFS(Tasks!$B$5:$B$1000,$A948,Tasks!$A$5:$A$1000,"&lt;&gt;",Tasks!$D$5:$D$1000,"Done")/COUNTIFS(Tasks!$B$5:$B$1000,$A948,Tasks!$A$5:$A$1000,"&lt;&gt;")))</f>
        <v/>
      </c>
      <c r="K948" s="11" t="str">
        <f>IF(OR($A948="",$F948=""),"",$F948-Overview!$B$3)</f>
        <v/>
      </c>
    </row>
    <row r="949" spans="4:11" x14ac:dyDescent="0.25">
      <c r="D949" s="18" t="str">
        <f>IF($C949="","",IFERROR(INDEX(Clients!$B$5:$B$1000,MATCH($C949,Clients!$A$5:$A$1000,0)),"Unknown client ID"))</f>
        <v/>
      </c>
      <c r="E949" s="16"/>
      <c r="F949" s="16"/>
      <c r="G949" s="17"/>
      <c r="J949" s="12" t="str">
        <f>IF($A949="","",IF(COUNTIFS(Tasks!$B$5:$B$1000,$A949,Tasks!$A$5:$A$1000,"&lt;&gt;")=0,0,COUNTIFS(Tasks!$B$5:$B$1000,$A949,Tasks!$A$5:$A$1000,"&lt;&gt;",Tasks!$D$5:$D$1000,"Done")/COUNTIFS(Tasks!$B$5:$B$1000,$A949,Tasks!$A$5:$A$1000,"&lt;&gt;")))</f>
        <v/>
      </c>
      <c r="K949" s="11" t="str">
        <f>IF(OR($A949="",$F949=""),"",$F949-Overview!$B$3)</f>
        <v/>
      </c>
    </row>
    <row r="950" spans="4:11" x14ac:dyDescent="0.25">
      <c r="D950" s="18" t="str">
        <f>IF($C950="","",IFERROR(INDEX(Clients!$B$5:$B$1000,MATCH($C950,Clients!$A$5:$A$1000,0)),"Unknown client ID"))</f>
        <v/>
      </c>
      <c r="E950" s="16"/>
      <c r="F950" s="16"/>
      <c r="G950" s="17"/>
      <c r="J950" s="12" t="str">
        <f>IF($A950="","",IF(COUNTIFS(Tasks!$B$5:$B$1000,$A950,Tasks!$A$5:$A$1000,"&lt;&gt;")=0,0,COUNTIFS(Tasks!$B$5:$B$1000,$A950,Tasks!$A$5:$A$1000,"&lt;&gt;",Tasks!$D$5:$D$1000,"Done")/COUNTIFS(Tasks!$B$5:$B$1000,$A950,Tasks!$A$5:$A$1000,"&lt;&gt;")))</f>
        <v/>
      </c>
      <c r="K950" s="11" t="str">
        <f>IF(OR($A950="",$F950=""),"",$F950-Overview!$B$3)</f>
        <v/>
      </c>
    </row>
    <row r="951" spans="4:11" x14ac:dyDescent="0.25">
      <c r="D951" s="18" t="str">
        <f>IF($C951="","",IFERROR(INDEX(Clients!$B$5:$B$1000,MATCH($C951,Clients!$A$5:$A$1000,0)),"Unknown client ID"))</f>
        <v/>
      </c>
      <c r="E951" s="16"/>
      <c r="F951" s="16"/>
      <c r="G951" s="17"/>
      <c r="J951" s="12" t="str">
        <f>IF($A951="","",IF(COUNTIFS(Tasks!$B$5:$B$1000,$A951,Tasks!$A$5:$A$1000,"&lt;&gt;")=0,0,COUNTIFS(Tasks!$B$5:$B$1000,$A951,Tasks!$A$5:$A$1000,"&lt;&gt;",Tasks!$D$5:$D$1000,"Done")/COUNTIFS(Tasks!$B$5:$B$1000,$A951,Tasks!$A$5:$A$1000,"&lt;&gt;")))</f>
        <v/>
      </c>
      <c r="K951" s="11" t="str">
        <f>IF(OR($A951="",$F951=""),"",$F951-Overview!$B$3)</f>
        <v/>
      </c>
    </row>
    <row r="952" spans="4:11" x14ac:dyDescent="0.25">
      <c r="D952" s="18" t="str">
        <f>IF($C952="","",IFERROR(INDEX(Clients!$B$5:$B$1000,MATCH($C952,Clients!$A$5:$A$1000,0)),"Unknown client ID"))</f>
        <v/>
      </c>
      <c r="E952" s="16"/>
      <c r="F952" s="16"/>
      <c r="G952" s="17"/>
      <c r="J952" s="12" t="str">
        <f>IF($A952="","",IF(COUNTIFS(Tasks!$B$5:$B$1000,$A952,Tasks!$A$5:$A$1000,"&lt;&gt;")=0,0,COUNTIFS(Tasks!$B$5:$B$1000,$A952,Tasks!$A$5:$A$1000,"&lt;&gt;",Tasks!$D$5:$D$1000,"Done")/COUNTIFS(Tasks!$B$5:$B$1000,$A952,Tasks!$A$5:$A$1000,"&lt;&gt;")))</f>
        <v/>
      </c>
      <c r="K952" s="11" t="str">
        <f>IF(OR($A952="",$F952=""),"",$F952-Overview!$B$3)</f>
        <v/>
      </c>
    </row>
    <row r="953" spans="4:11" x14ac:dyDescent="0.25">
      <c r="D953" s="18" t="str">
        <f>IF($C953="","",IFERROR(INDEX(Clients!$B$5:$B$1000,MATCH($C953,Clients!$A$5:$A$1000,0)),"Unknown client ID"))</f>
        <v/>
      </c>
      <c r="E953" s="16"/>
      <c r="F953" s="16"/>
      <c r="G953" s="17"/>
      <c r="J953" s="12" t="str">
        <f>IF($A953="","",IF(COUNTIFS(Tasks!$B$5:$B$1000,$A953,Tasks!$A$5:$A$1000,"&lt;&gt;")=0,0,COUNTIFS(Tasks!$B$5:$B$1000,$A953,Tasks!$A$5:$A$1000,"&lt;&gt;",Tasks!$D$5:$D$1000,"Done")/COUNTIFS(Tasks!$B$5:$B$1000,$A953,Tasks!$A$5:$A$1000,"&lt;&gt;")))</f>
        <v/>
      </c>
      <c r="K953" s="11" t="str">
        <f>IF(OR($A953="",$F953=""),"",$F953-Overview!$B$3)</f>
        <v/>
      </c>
    </row>
    <row r="954" spans="4:11" x14ac:dyDescent="0.25">
      <c r="D954" s="18" t="str">
        <f>IF($C954="","",IFERROR(INDEX(Clients!$B$5:$B$1000,MATCH($C954,Clients!$A$5:$A$1000,0)),"Unknown client ID"))</f>
        <v/>
      </c>
      <c r="E954" s="16"/>
      <c r="F954" s="16"/>
      <c r="G954" s="17"/>
      <c r="J954" s="12" t="str">
        <f>IF($A954="","",IF(COUNTIFS(Tasks!$B$5:$B$1000,$A954,Tasks!$A$5:$A$1000,"&lt;&gt;")=0,0,COUNTIFS(Tasks!$B$5:$B$1000,$A954,Tasks!$A$5:$A$1000,"&lt;&gt;",Tasks!$D$5:$D$1000,"Done")/COUNTIFS(Tasks!$B$5:$B$1000,$A954,Tasks!$A$5:$A$1000,"&lt;&gt;")))</f>
        <v/>
      </c>
      <c r="K954" s="11" t="str">
        <f>IF(OR($A954="",$F954=""),"",$F954-Overview!$B$3)</f>
        <v/>
      </c>
    </row>
    <row r="955" spans="4:11" x14ac:dyDescent="0.25">
      <c r="D955" s="18" t="str">
        <f>IF($C955="","",IFERROR(INDEX(Clients!$B$5:$B$1000,MATCH($C955,Clients!$A$5:$A$1000,0)),"Unknown client ID"))</f>
        <v/>
      </c>
      <c r="E955" s="16"/>
      <c r="F955" s="16"/>
      <c r="G955" s="17"/>
      <c r="J955" s="12" t="str">
        <f>IF($A955="","",IF(COUNTIFS(Tasks!$B$5:$B$1000,$A955,Tasks!$A$5:$A$1000,"&lt;&gt;")=0,0,COUNTIFS(Tasks!$B$5:$B$1000,$A955,Tasks!$A$5:$A$1000,"&lt;&gt;",Tasks!$D$5:$D$1000,"Done")/COUNTIFS(Tasks!$B$5:$B$1000,$A955,Tasks!$A$5:$A$1000,"&lt;&gt;")))</f>
        <v/>
      </c>
      <c r="K955" s="11" t="str">
        <f>IF(OR($A955="",$F955=""),"",$F955-Overview!$B$3)</f>
        <v/>
      </c>
    </row>
    <row r="956" spans="4:11" x14ac:dyDescent="0.25">
      <c r="D956" s="18" t="str">
        <f>IF($C956="","",IFERROR(INDEX(Clients!$B$5:$B$1000,MATCH($C956,Clients!$A$5:$A$1000,0)),"Unknown client ID"))</f>
        <v/>
      </c>
      <c r="E956" s="16"/>
      <c r="F956" s="16"/>
      <c r="G956" s="17"/>
      <c r="J956" s="12" t="str">
        <f>IF($A956="","",IF(COUNTIFS(Tasks!$B$5:$B$1000,$A956,Tasks!$A$5:$A$1000,"&lt;&gt;")=0,0,COUNTIFS(Tasks!$B$5:$B$1000,$A956,Tasks!$A$5:$A$1000,"&lt;&gt;",Tasks!$D$5:$D$1000,"Done")/COUNTIFS(Tasks!$B$5:$B$1000,$A956,Tasks!$A$5:$A$1000,"&lt;&gt;")))</f>
        <v/>
      </c>
      <c r="K956" s="11" t="str">
        <f>IF(OR($A956="",$F956=""),"",$F956-Overview!$B$3)</f>
        <v/>
      </c>
    </row>
    <row r="957" spans="4:11" x14ac:dyDescent="0.25">
      <c r="D957" s="18" t="str">
        <f>IF($C957="","",IFERROR(INDEX(Clients!$B$5:$B$1000,MATCH($C957,Clients!$A$5:$A$1000,0)),"Unknown client ID"))</f>
        <v/>
      </c>
      <c r="E957" s="16"/>
      <c r="F957" s="16"/>
      <c r="G957" s="17"/>
      <c r="J957" s="12" t="str">
        <f>IF($A957="","",IF(COUNTIFS(Tasks!$B$5:$B$1000,$A957,Tasks!$A$5:$A$1000,"&lt;&gt;")=0,0,COUNTIFS(Tasks!$B$5:$B$1000,$A957,Tasks!$A$5:$A$1000,"&lt;&gt;",Tasks!$D$5:$D$1000,"Done")/COUNTIFS(Tasks!$B$5:$B$1000,$A957,Tasks!$A$5:$A$1000,"&lt;&gt;")))</f>
        <v/>
      </c>
      <c r="K957" s="11" t="str">
        <f>IF(OR($A957="",$F957=""),"",$F957-Overview!$B$3)</f>
        <v/>
      </c>
    </row>
    <row r="958" spans="4:11" x14ac:dyDescent="0.25">
      <c r="D958" s="18" t="str">
        <f>IF($C958="","",IFERROR(INDEX(Clients!$B$5:$B$1000,MATCH($C958,Clients!$A$5:$A$1000,0)),"Unknown client ID"))</f>
        <v/>
      </c>
      <c r="E958" s="16"/>
      <c r="F958" s="16"/>
      <c r="G958" s="17"/>
      <c r="J958" s="12" t="str">
        <f>IF($A958="","",IF(COUNTIFS(Tasks!$B$5:$B$1000,$A958,Tasks!$A$5:$A$1000,"&lt;&gt;")=0,0,COUNTIFS(Tasks!$B$5:$B$1000,$A958,Tasks!$A$5:$A$1000,"&lt;&gt;",Tasks!$D$5:$D$1000,"Done")/COUNTIFS(Tasks!$B$5:$B$1000,$A958,Tasks!$A$5:$A$1000,"&lt;&gt;")))</f>
        <v/>
      </c>
      <c r="K958" s="11" t="str">
        <f>IF(OR($A958="",$F958=""),"",$F958-Overview!$B$3)</f>
        <v/>
      </c>
    </row>
    <row r="959" spans="4:11" x14ac:dyDescent="0.25">
      <c r="D959" s="18" t="str">
        <f>IF($C959="","",IFERROR(INDEX(Clients!$B$5:$B$1000,MATCH($C959,Clients!$A$5:$A$1000,0)),"Unknown client ID"))</f>
        <v/>
      </c>
      <c r="E959" s="16"/>
      <c r="F959" s="16"/>
      <c r="G959" s="17"/>
      <c r="J959" s="12" t="str">
        <f>IF($A959="","",IF(COUNTIFS(Tasks!$B$5:$B$1000,$A959,Tasks!$A$5:$A$1000,"&lt;&gt;")=0,0,COUNTIFS(Tasks!$B$5:$B$1000,$A959,Tasks!$A$5:$A$1000,"&lt;&gt;",Tasks!$D$5:$D$1000,"Done")/COUNTIFS(Tasks!$B$5:$B$1000,$A959,Tasks!$A$5:$A$1000,"&lt;&gt;")))</f>
        <v/>
      </c>
      <c r="K959" s="11" t="str">
        <f>IF(OR($A959="",$F959=""),"",$F959-Overview!$B$3)</f>
        <v/>
      </c>
    </row>
    <row r="960" spans="4:11" x14ac:dyDescent="0.25">
      <c r="D960" s="18" t="str">
        <f>IF($C960="","",IFERROR(INDEX(Clients!$B$5:$B$1000,MATCH($C960,Clients!$A$5:$A$1000,0)),"Unknown client ID"))</f>
        <v/>
      </c>
      <c r="E960" s="16"/>
      <c r="F960" s="16"/>
      <c r="G960" s="17"/>
      <c r="J960" s="12" t="str">
        <f>IF($A960="","",IF(COUNTIFS(Tasks!$B$5:$B$1000,$A960,Tasks!$A$5:$A$1000,"&lt;&gt;")=0,0,COUNTIFS(Tasks!$B$5:$B$1000,$A960,Tasks!$A$5:$A$1000,"&lt;&gt;",Tasks!$D$5:$D$1000,"Done")/COUNTIFS(Tasks!$B$5:$B$1000,$A960,Tasks!$A$5:$A$1000,"&lt;&gt;")))</f>
        <v/>
      </c>
      <c r="K960" s="11" t="str">
        <f>IF(OR($A960="",$F960=""),"",$F960-Overview!$B$3)</f>
        <v/>
      </c>
    </row>
    <row r="961" spans="4:11" x14ac:dyDescent="0.25">
      <c r="D961" s="18" t="str">
        <f>IF($C961="","",IFERROR(INDEX(Clients!$B$5:$B$1000,MATCH($C961,Clients!$A$5:$A$1000,0)),"Unknown client ID"))</f>
        <v/>
      </c>
      <c r="E961" s="16"/>
      <c r="F961" s="16"/>
      <c r="G961" s="17"/>
      <c r="J961" s="12" t="str">
        <f>IF($A961="","",IF(COUNTIFS(Tasks!$B$5:$B$1000,$A961,Tasks!$A$5:$A$1000,"&lt;&gt;")=0,0,COUNTIFS(Tasks!$B$5:$B$1000,$A961,Tasks!$A$5:$A$1000,"&lt;&gt;",Tasks!$D$5:$D$1000,"Done")/COUNTIFS(Tasks!$B$5:$B$1000,$A961,Tasks!$A$5:$A$1000,"&lt;&gt;")))</f>
        <v/>
      </c>
      <c r="K961" s="11" t="str">
        <f>IF(OR($A961="",$F961=""),"",$F961-Overview!$B$3)</f>
        <v/>
      </c>
    </row>
    <row r="962" spans="4:11" x14ac:dyDescent="0.25">
      <c r="D962" s="18" t="str">
        <f>IF($C962="","",IFERROR(INDEX(Clients!$B$5:$B$1000,MATCH($C962,Clients!$A$5:$A$1000,0)),"Unknown client ID"))</f>
        <v/>
      </c>
      <c r="E962" s="16"/>
      <c r="F962" s="16"/>
      <c r="G962" s="17"/>
      <c r="J962" s="12" t="str">
        <f>IF($A962="","",IF(COUNTIFS(Tasks!$B$5:$B$1000,$A962,Tasks!$A$5:$A$1000,"&lt;&gt;")=0,0,COUNTIFS(Tasks!$B$5:$B$1000,$A962,Tasks!$A$5:$A$1000,"&lt;&gt;",Tasks!$D$5:$D$1000,"Done")/COUNTIFS(Tasks!$B$5:$B$1000,$A962,Tasks!$A$5:$A$1000,"&lt;&gt;")))</f>
        <v/>
      </c>
      <c r="K962" s="11" t="str">
        <f>IF(OR($A962="",$F962=""),"",$F962-Overview!$B$3)</f>
        <v/>
      </c>
    </row>
    <row r="963" spans="4:11" x14ac:dyDescent="0.25">
      <c r="D963" s="18" t="str">
        <f>IF($C963="","",IFERROR(INDEX(Clients!$B$5:$B$1000,MATCH($C963,Clients!$A$5:$A$1000,0)),"Unknown client ID"))</f>
        <v/>
      </c>
      <c r="E963" s="16"/>
      <c r="F963" s="16"/>
      <c r="G963" s="17"/>
      <c r="J963" s="12" t="str">
        <f>IF($A963="","",IF(COUNTIFS(Tasks!$B$5:$B$1000,$A963,Tasks!$A$5:$A$1000,"&lt;&gt;")=0,0,COUNTIFS(Tasks!$B$5:$B$1000,$A963,Tasks!$A$5:$A$1000,"&lt;&gt;",Tasks!$D$5:$D$1000,"Done")/COUNTIFS(Tasks!$B$5:$B$1000,$A963,Tasks!$A$5:$A$1000,"&lt;&gt;")))</f>
        <v/>
      </c>
      <c r="K963" s="11" t="str">
        <f>IF(OR($A963="",$F963=""),"",$F963-Overview!$B$3)</f>
        <v/>
      </c>
    </row>
    <row r="964" spans="4:11" x14ac:dyDescent="0.25">
      <c r="D964" s="18" t="str">
        <f>IF($C964="","",IFERROR(INDEX(Clients!$B$5:$B$1000,MATCH($C964,Clients!$A$5:$A$1000,0)),"Unknown client ID"))</f>
        <v/>
      </c>
      <c r="E964" s="16"/>
      <c r="F964" s="16"/>
      <c r="G964" s="17"/>
      <c r="J964" s="12" t="str">
        <f>IF($A964="","",IF(COUNTIFS(Tasks!$B$5:$B$1000,$A964,Tasks!$A$5:$A$1000,"&lt;&gt;")=0,0,COUNTIFS(Tasks!$B$5:$B$1000,$A964,Tasks!$A$5:$A$1000,"&lt;&gt;",Tasks!$D$5:$D$1000,"Done")/COUNTIFS(Tasks!$B$5:$B$1000,$A964,Tasks!$A$5:$A$1000,"&lt;&gt;")))</f>
        <v/>
      </c>
      <c r="K964" s="11" t="str">
        <f>IF(OR($A964="",$F964=""),"",$F964-Overview!$B$3)</f>
        <v/>
      </c>
    </row>
    <row r="965" spans="4:11" x14ac:dyDescent="0.25">
      <c r="D965" s="18" t="str">
        <f>IF($C965="","",IFERROR(INDEX(Clients!$B$5:$B$1000,MATCH($C965,Clients!$A$5:$A$1000,0)),"Unknown client ID"))</f>
        <v/>
      </c>
      <c r="E965" s="16"/>
      <c r="F965" s="16"/>
      <c r="G965" s="17"/>
      <c r="J965" s="12" t="str">
        <f>IF($A965="","",IF(COUNTIFS(Tasks!$B$5:$B$1000,$A965,Tasks!$A$5:$A$1000,"&lt;&gt;")=0,0,COUNTIFS(Tasks!$B$5:$B$1000,$A965,Tasks!$A$5:$A$1000,"&lt;&gt;",Tasks!$D$5:$D$1000,"Done")/COUNTIFS(Tasks!$B$5:$B$1000,$A965,Tasks!$A$5:$A$1000,"&lt;&gt;")))</f>
        <v/>
      </c>
      <c r="K965" s="11" t="str">
        <f>IF(OR($A965="",$F965=""),"",$F965-Overview!$B$3)</f>
        <v/>
      </c>
    </row>
    <row r="966" spans="4:11" x14ac:dyDescent="0.25">
      <c r="D966" s="18" t="str">
        <f>IF($C966="","",IFERROR(INDEX(Clients!$B$5:$B$1000,MATCH($C966,Clients!$A$5:$A$1000,0)),"Unknown client ID"))</f>
        <v/>
      </c>
      <c r="E966" s="16"/>
      <c r="F966" s="16"/>
      <c r="G966" s="17"/>
      <c r="J966" s="12" t="str">
        <f>IF($A966="","",IF(COUNTIFS(Tasks!$B$5:$B$1000,$A966,Tasks!$A$5:$A$1000,"&lt;&gt;")=0,0,COUNTIFS(Tasks!$B$5:$B$1000,$A966,Tasks!$A$5:$A$1000,"&lt;&gt;",Tasks!$D$5:$D$1000,"Done")/COUNTIFS(Tasks!$B$5:$B$1000,$A966,Tasks!$A$5:$A$1000,"&lt;&gt;")))</f>
        <v/>
      </c>
      <c r="K966" s="11" t="str">
        <f>IF(OR($A966="",$F966=""),"",$F966-Overview!$B$3)</f>
        <v/>
      </c>
    </row>
    <row r="967" spans="4:11" x14ac:dyDescent="0.25">
      <c r="D967" s="18" t="str">
        <f>IF($C967="","",IFERROR(INDEX(Clients!$B$5:$B$1000,MATCH($C967,Clients!$A$5:$A$1000,0)),"Unknown client ID"))</f>
        <v/>
      </c>
      <c r="E967" s="16"/>
      <c r="F967" s="16"/>
      <c r="G967" s="17"/>
      <c r="J967" s="12" t="str">
        <f>IF($A967="","",IF(COUNTIFS(Tasks!$B$5:$B$1000,$A967,Tasks!$A$5:$A$1000,"&lt;&gt;")=0,0,COUNTIFS(Tasks!$B$5:$B$1000,$A967,Tasks!$A$5:$A$1000,"&lt;&gt;",Tasks!$D$5:$D$1000,"Done")/COUNTIFS(Tasks!$B$5:$B$1000,$A967,Tasks!$A$5:$A$1000,"&lt;&gt;")))</f>
        <v/>
      </c>
      <c r="K967" s="11" t="str">
        <f>IF(OR($A967="",$F967=""),"",$F967-Overview!$B$3)</f>
        <v/>
      </c>
    </row>
    <row r="968" spans="4:11" x14ac:dyDescent="0.25">
      <c r="D968" s="18" t="str">
        <f>IF($C968="","",IFERROR(INDEX(Clients!$B$5:$B$1000,MATCH($C968,Clients!$A$5:$A$1000,0)),"Unknown client ID"))</f>
        <v/>
      </c>
      <c r="E968" s="16"/>
      <c r="F968" s="16"/>
      <c r="G968" s="17"/>
      <c r="J968" s="12" t="str">
        <f>IF($A968="","",IF(COUNTIFS(Tasks!$B$5:$B$1000,$A968,Tasks!$A$5:$A$1000,"&lt;&gt;")=0,0,COUNTIFS(Tasks!$B$5:$B$1000,$A968,Tasks!$A$5:$A$1000,"&lt;&gt;",Tasks!$D$5:$D$1000,"Done")/COUNTIFS(Tasks!$B$5:$B$1000,$A968,Tasks!$A$5:$A$1000,"&lt;&gt;")))</f>
        <v/>
      </c>
      <c r="K968" s="11" t="str">
        <f>IF(OR($A968="",$F968=""),"",$F968-Overview!$B$3)</f>
        <v/>
      </c>
    </row>
    <row r="969" spans="4:11" x14ac:dyDescent="0.25">
      <c r="D969" s="18" t="str">
        <f>IF($C969="","",IFERROR(INDEX(Clients!$B$5:$B$1000,MATCH($C969,Clients!$A$5:$A$1000,0)),"Unknown client ID"))</f>
        <v/>
      </c>
      <c r="E969" s="16"/>
      <c r="F969" s="16"/>
      <c r="G969" s="17"/>
      <c r="J969" s="12" t="str">
        <f>IF($A969="","",IF(COUNTIFS(Tasks!$B$5:$B$1000,$A969,Tasks!$A$5:$A$1000,"&lt;&gt;")=0,0,COUNTIFS(Tasks!$B$5:$B$1000,$A969,Tasks!$A$5:$A$1000,"&lt;&gt;",Tasks!$D$5:$D$1000,"Done")/COUNTIFS(Tasks!$B$5:$B$1000,$A969,Tasks!$A$5:$A$1000,"&lt;&gt;")))</f>
        <v/>
      </c>
      <c r="K969" s="11" t="str">
        <f>IF(OR($A969="",$F969=""),"",$F969-Overview!$B$3)</f>
        <v/>
      </c>
    </row>
    <row r="970" spans="4:11" x14ac:dyDescent="0.25">
      <c r="D970" s="18" t="str">
        <f>IF($C970="","",IFERROR(INDEX(Clients!$B$5:$B$1000,MATCH($C970,Clients!$A$5:$A$1000,0)),"Unknown client ID"))</f>
        <v/>
      </c>
      <c r="E970" s="16"/>
      <c r="F970" s="16"/>
      <c r="G970" s="17"/>
      <c r="J970" s="12" t="str">
        <f>IF($A970="","",IF(COUNTIFS(Tasks!$B$5:$B$1000,$A970,Tasks!$A$5:$A$1000,"&lt;&gt;")=0,0,COUNTIFS(Tasks!$B$5:$B$1000,$A970,Tasks!$A$5:$A$1000,"&lt;&gt;",Tasks!$D$5:$D$1000,"Done")/COUNTIFS(Tasks!$B$5:$B$1000,$A970,Tasks!$A$5:$A$1000,"&lt;&gt;")))</f>
        <v/>
      </c>
      <c r="K970" s="11" t="str">
        <f>IF(OR($A970="",$F970=""),"",$F970-Overview!$B$3)</f>
        <v/>
      </c>
    </row>
    <row r="971" spans="4:11" x14ac:dyDescent="0.25">
      <c r="D971" s="18" t="str">
        <f>IF($C971="","",IFERROR(INDEX(Clients!$B$5:$B$1000,MATCH($C971,Clients!$A$5:$A$1000,0)),"Unknown client ID"))</f>
        <v/>
      </c>
      <c r="E971" s="16"/>
      <c r="F971" s="16"/>
      <c r="G971" s="17"/>
      <c r="J971" s="12" t="str">
        <f>IF($A971="","",IF(COUNTIFS(Tasks!$B$5:$B$1000,$A971,Tasks!$A$5:$A$1000,"&lt;&gt;")=0,0,COUNTIFS(Tasks!$B$5:$B$1000,$A971,Tasks!$A$5:$A$1000,"&lt;&gt;",Tasks!$D$5:$D$1000,"Done")/COUNTIFS(Tasks!$B$5:$B$1000,$A971,Tasks!$A$5:$A$1000,"&lt;&gt;")))</f>
        <v/>
      </c>
      <c r="K971" s="11" t="str">
        <f>IF(OR($A971="",$F971=""),"",$F971-Overview!$B$3)</f>
        <v/>
      </c>
    </row>
    <row r="972" spans="4:11" x14ac:dyDescent="0.25">
      <c r="D972" s="18" t="str">
        <f>IF($C972="","",IFERROR(INDEX(Clients!$B$5:$B$1000,MATCH($C972,Clients!$A$5:$A$1000,0)),"Unknown client ID"))</f>
        <v/>
      </c>
      <c r="E972" s="16"/>
      <c r="F972" s="16"/>
      <c r="G972" s="17"/>
      <c r="J972" s="12" t="str">
        <f>IF($A972="","",IF(COUNTIFS(Tasks!$B$5:$B$1000,$A972,Tasks!$A$5:$A$1000,"&lt;&gt;")=0,0,COUNTIFS(Tasks!$B$5:$B$1000,$A972,Tasks!$A$5:$A$1000,"&lt;&gt;",Tasks!$D$5:$D$1000,"Done")/COUNTIFS(Tasks!$B$5:$B$1000,$A972,Tasks!$A$5:$A$1000,"&lt;&gt;")))</f>
        <v/>
      </c>
      <c r="K972" s="11" t="str">
        <f>IF(OR($A972="",$F972=""),"",$F972-Overview!$B$3)</f>
        <v/>
      </c>
    </row>
    <row r="973" spans="4:11" x14ac:dyDescent="0.25">
      <c r="D973" s="18" t="str">
        <f>IF($C973="","",IFERROR(INDEX(Clients!$B$5:$B$1000,MATCH($C973,Clients!$A$5:$A$1000,0)),"Unknown client ID"))</f>
        <v/>
      </c>
      <c r="E973" s="16"/>
      <c r="F973" s="16"/>
      <c r="G973" s="17"/>
      <c r="J973" s="12" t="str">
        <f>IF($A973="","",IF(COUNTIFS(Tasks!$B$5:$B$1000,$A973,Tasks!$A$5:$A$1000,"&lt;&gt;")=0,0,COUNTIFS(Tasks!$B$5:$B$1000,$A973,Tasks!$A$5:$A$1000,"&lt;&gt;",Tasks!$D$5:$D$1000,"Done")/COUNTIFS(Tasks!$B$5:$B$1000,$A973,Tasks!$A$5:$A$1000,"&lt;&gt;")))</f>
        <v/>
      </c>
      <c r="K973" s="11" t="str">
        <f>IF(OR($A973="",$F973=""),"",$F973-Overview!$B$3)</f>
        <v/>
      </c>
    </row>
    <row r="974" spans="4:11" x14ac:dyDescent="0.25">
      <c r="D974" s="18" t="str">
        <f>IF($C974="","",IFERROR(INDEX(Clients!$B$5:$B$1000,MATCH($C974,Clients!$A$5:$A$1000,0)),"Unknown client ID"))</f>
        <v/>
      </c>
      <c r="E974" s="16"/>
      <c r="F974" s="16"/>
      <c r="G974" s="17"/>
      <c r="J974" s="12" t="str">
        <f>IF($A974="","",IF(COUNTIFS(Tasks!$B$5:$B$1000,$A974,Tasks!$A$5:$A$1000,"&lt;&gt;")=0,0,COUNTIFS(Tasks!$B$5:$B$1000,$A974,Tasks!$A$5:$A$1000,"&lt;&gt;",Tasks!$D$5:$D$1000,"Done")/COUNTIFS(Tasks!$B$5:$B$1000,$A974,Tasks!$A$5:$A$1000,"&lt;&gt;")))</f>
        <v/>
      </c>
      <c r="K974" s="11" t="str">
        <f>IF(OR($A974="",$F974=""),"",$F974-Overview!$B$3)</f>
        <v/>
      </c>
    </row>
    <row r="975" spans="4:11" x14ac:dyDescent="0.25">
      <c r="D975" s="18" t="str">
        <f>IF($C975="","",IFERROR(INDEX(Clients!$B$5:$B$1000,MATCH($C975,Clients!$A$5:$A$1000,0)),"Unknown client ID"))</f>
        <v/>
      </c>
      <c r="E975" s="16"/>
      <c r="F975" s="16"/>
      <c r="G975" s="17"/>
      <c r="J975" s="12" t="str">
        <f>IF($A975="","",IF(COUNTIFS(Tasks!$B$5:$B$1000,$A975,Tasks!$A$5:$A$1000,"&lt;&gt;")=0,0,COUNTIFS(Tasks!$B$5:$B$1000,$A975,Tasks!$A$5:$A$1000,"&lt;&gt;",Tasks!$D$5:$D$1000,"Done")/COUNTIFS(Tasks!$B$5:$B$1000,$A975,Tasks!$A$5:$A$1000,"&lt;&gt;")))</f>
        <v/>
      </c>
      <c r="K975" s="11" t="str">
        <f>IF(OR($A975="",$F975=""),"",$F975-Overview!$B$3)</f>
        <v/>
      </c>
    </row>
    <row r="976" spans="4:11" x14ac:dyDescent="0.25">
      <c r="D976" s="18" t="str">
        <f>IF($C976="","",IFERROR(INDEX(Clients!$B$5:$B$1000,MATCH($C976,Clients!$A$5:$A$1000,0)),"Unknown client ID"))</f>
        <v/>
      </c>
      <c r="E976" s="16"/>
      <c r="F976" s="16"/>
      <c r="G976" s="17"/>
      <c r="J976" s="12" t="str">
        <f>IF($A976="","",IF(COUNTIFS(Tasks!$B$5:$B$1000,$A976,Tasks!$A$5:$A$1000,"&lt;&gt;")=0,0,COUNTIFS(Tasks!$B$5:$B$1000,$A976,Tasks!$A$5:$A$1000,"&lt;&gt;",Tasks!$D$5:$D$1000,"Done")/COUNTIFS(Tasks!$B$5:$B$1000,$A976,Tasks!$A$5:$A$1000,"&lt;&gt;")))</f>
        <v/>
      </c>
      <c r="K976" s="11" t="str">
        <f>IF(OR($A976="",$F976=""),"",$F976-Overview!$B$3)</f>
        <v/>
      </c>
    </row>
    <row r="977" spans="4:11" x14ac:dyDescent="0.25">
      <c r="D977" s="18" t="str">
        <f>IF($C977="","",IFERROR(INDEX(Clients!$B$5:$B$1000,MATCH($C977,Clients!$A$5:$A$1000,0)),"Unknown client ID"))</f>
        <v/>
      </c>
      <c r="E977" s="16"/>
      <c r="F977" s="16"/>
      <c r="G977" s="17"/>
      <c r="J977" s="12" t="str">
        <f>IF($A977="","",IF(COUNTIFS(Tasks!$B$5:$B$1000,$A977,Tasks!$A$5:$A$1000,"&lt;&gt;")=0,0,COUNTIFS(Tasks!$B$5:$B$1000,$A977,Tasks!$A$5:$A$1000,"&lt;&gt;",Tasks!$D$5:$D$1000,"Done")/COUNTIFS(Tasks!$B$5:$B$1000,$A977,Tasks!$A$5:$A$1000,"&lt;&gt;")))</f>
        <v/>
      </c>
      <c r="K977" s="11" t="str">
        <f>IF(OR($A977="",$F977=""),"",$F977-Overview!$B$3)</f>
        <v/>
      </c>
    </row>
    <row r="978" spans="4:11" x14ac:dyDescent="0.25">
      <c r="D978" s="18" t="str">
        <f>IF($C978="","",IFERROR(INDEX(Clients!$B$5:$B$1000,MATCH($C978,Clients!$A$5:$A$1000,0)),"Unknown client ID"))</f>
        <v/>
      </c>
      <c r="E978" s="16"/>
      <c r="F978" s="16"/>
      <c r="G978" s="17"/>
      <c r="J978" s="12" t="str">
        <f>IF($A978="","",IF(COUNTIFS(Tasks!$B$5:$B$1000,$A978,Tasks!$A$5:$A$1000,"&lt;&gt;")=0,0,COUNTIFS(Tasks!$B$5:$B$1000,$A978,Tasks!$A$5:$A$1000,"&lt;&gt;",Tasks!$D$5:$D$1000,"Done")/COUNTIFS(Tasks!$B$5:$B$1000,$A978,Tasks!$A$5:$A$1000,"&lt;&gt;")))</f>
        <v/>
      </c>
      <c r="K978" s="11" t="str">
        <f>IF(OR($A978="",$F978=""),"",$F978-Overview!$B$3)</f>
        <v/>
      </c>
    </row>
    <row r="979" spans="4:11" x14ac:dyDescent="0.25">
      <c r="D979" s="18" t="str">
        <f>IF($C979="","",IFERROR(INDEX(Clients!$B$5:$B$1000,MATCH($C979,Clients!$A$5:$A$1000,0)),"Unknown client ID"))</f>
        <v/>
      </c>
      <c r="E979" s="16"/>
      <c r="F979" s="16"/>
      <c r="G979" s="17"/>
      <c r="J979" s="12" t="str">
        <f>IF($A979="","",IF(COUNTIFS(Tasks!$B$5:$B$1000,$A979,Tasks!$A$5:$A$1000,"&lt;&gt;")=0,0,COUNTIFS(Tasks!$B$5:$B$1000,$A979,Tasks!$A$5:$A$1000,"&lt;&gt;",Tasks!$D$5:$D$1000,"Done")/COUNTIFS(Tasks!$B$5:$B$1000,$A979,Tasks!$A$5:$A$1000,"&lt;&gt;")))</f>
        <v/>
      </c>
      <c r="K979" s="11" t="str">
        <f>IF(OR($A979="",$F979=""),"",$F979-Overview!$B$3)</f>
        <v/>
      </c>
    </row>
    <row r="980" spans="4:11" x14ac:dyDescent="0.25">
      <c r="D980" s="18" t="str">
        <f>IF($C980="","",IFERROR(INDEX(Clients!$B$5:$B$1000,MATCH($C980,Clients!$A$5:$A$1000,0)),"Unknown client ID"))</f>
        <v/>
      </c>
      <c r="E980" s="16"/>
      <c r="F980" s="16"/>
      <c r="G980" s="17"/>
      <c r="J980" s="12" t="str">
        <f>IF($A980="","",IF(COUNTIFS(Tasks!$B$5:$B$1000,$A980,Tasks!$A$5:$A$1000,"&lt;&gt;")=0,0,COUNTIFS(Tasks!$B$5:$B$1000,$A980,Tasks!$A$5:$A$1000,"&lt;&gt;",Tasks!$D$5:$D$1000,"Done")/COUNTIFS(Tasks!$B$5:$B$1000,$A980,Tasks!$A$5:$A$1000,"&lt;&gt;")))</f>
        <v/>
      </c>
      <c r="K980" s="11" t="str">
        <f>IF(OR($A980="",$F980=""),"",$F980-Overview!$B$3)</f>
        <v/>
      </c>
    </row>
    <row r="981" spans="4:11" x14ac:dyDescent="0.25">
      <c r="D981" s="18" t="str">
        <f>IF($C981="","",IFERROR(INDEX(Clients!$B$5:$B$1000,MATCH($C981,Clients!$A$5:$A$1000,0)),"Unknown client ID"))</f>
        <v/>
      </c>
      <c r="E981" s="16"/>
      <c r="F981" s="16"/>
      <c r="G981" s="17"/>
      <c r="J981" s="12" t="str">
        <f>IF($A981="","",IF(COUNTIFS(Tasks!$B$5:$B$1000,$A981,Tasks!$A$5:$A$1000,"&lt;&gt;")=0,0,COUNTIFS(Tasks!$B$5:$B$1000,$A981,Tasks!$A$5:$A$1000,"&lt;&gt;",Tasks!$D$5:$D$1000,"Done")/COUNTIFS(Tasks!$B$5:$B$1000,$A981,Tasks!$A$5:$A$1000,"&lt;&gt;")))</f>
        <v/>
      </c>
      <c r="K981" s="11" t="str">
        <f>IF(OR($A981="",$F981=""),"",$F981-Overview!$B$3)</f>
        <v/>
      </c>
    </row>
    <row r="982" spans="4:11" x14ac:dyDescent="0.25">
      <c r="D982" s="18" t="str">
        <f>IF($C982="","",IFERROR(INDEX(Clients!$B$5:$B$1000,MATCH($C982,Clients!$A$5:$A$1000,0)),"Unknown client ID"))</f>
        <v/>
      </c>
      <c r="E982" s="16"/>
      <c r="F982" s="16"/>
      <c r="G982" s="17"/>
      <c r="J982" s="12" t="str">
        <f>IF($A982="","",IF(COUNTIFS(Tasks!$B$5:$B$1000,$A982,Tasks!$A$5:$A$1000,"&lt;&gt;")=0,0,COUNTIFS(Tasks!$B$5:$B$1000,$A982,Tasks!$A$5:$A$1000,"&lt;&gt;",Tasks!$D$5:$D$1000,"Done")/COUNTIFS(Tasks!$B$5:$B$1000,$A982,Tasks!$A$5:$A$1000,"&lt;&gt;")))</f>
        <v/>
      </c>
      <c r="K982" s="11" t="str">
        <f>IF(OR($A982="",$F982=""),"",$F982-Overview!$B$3)</f>
        <v/>
      </c>
    </row>
    <row r="983" spans="4:11" x14ac:dyDescent="0.25">
      <c r="D983" s="18" t="str">
        <f>IF($C983="","",IFERROR(INDEX(Clients!$B$5:$B$1000,MATCH($C983,Clients!$A$5:$A$1000,0)),"Unknown client ID"))</f>
        <v/>
      </c>
      <c r="E983" s="16"/>
      <c r="F983" s="16"/>
      <c r="G983" s="17"/>
      <c r="J983" s="12" t="str">
        <f>IF($A983="","",IF(COUNTIFS(Tasks!$B$5:$B$1000,$A983,Tasks!$A$5:$A$1000,"&lt;&gt;")=0,0,COUNTIFS(Tasks!$B$5:$B$1000,$A983,Tasks!$A$5:$A$1000,"&lt;&gt;",Tasks!$D$5:$D$1000,"Done")/COUNTIFS(Tasks!$B$5:$B$1000,$A983,Tasks!$A$5:$A$1000,"&lt;&gt;")))</f>
        <v/>
      </c>
      <c r="K983" s="11" t="str">
        <f>IF(OR($A983="",$F983=""),"",$F983-Overview!$B$3)</f>
        <v/>
      </c>
    </row>
    <row r="984" spans="4:11" x14ac:dyDescent="0.25">
      <c r="D984" s="18" t="str">
        <f>IF($C984="","",IFERROR(INDEX(Clients!$B$5:$B$1000,MATCH($C984,Clients!$A$5:$A$1000,0)),"Unknown client ID"))</f>
        <v/>
      </c>
      <c r="E984" s="16"/>
      <c r="F984" s="16"/>
      <c r="G984" s="17"/>
      <c r="J984" s="12" t="str">
        <f>IF($A984="","",IF(COUNTIFS(Tasks!$B$5:$B$1000,$A984,Tasks!$A$5:$A$1000,"&lt;&gt;")=0,0,COUNTIFS(Tasks!$B$5:$B$1000,$A984,Tasks!$A$5:$A$1000,"&lt;&gt;",Tasks!$D$5:$D$1000,"Done")/COUNTIFS(Tasks!$B$5:$B$1000,$A984,Tasks!$A$5:$A$1000,"&lt;&gt;")))</f>
        <v/>
      </c>
      <c r="K984" s="11" t="str">
        <f>IF(OR($A984="",$F984=""),"",$F984-Overview!$B$3)</f>
        <v/>
      </c>
    </row>
    <row r="985" spans="4:11" x14ac:dyDescent="0.25">
      <c r="D985" s="18" t="str">
        <f>IF($C985="","",IFERROR(INDEX(Clients!$B$5:$B$1000,MATCH($C985,Clients!$A$5:$A$1000,0)),"Unknown client ID"))</f>
        <v/>
      </c>
      <c r="E985" s="16"/>
      <c r="F985" s="16"/>
      <c r="G985" s="17"/>
      <c r="J985" s="12" t="str">
        <f>IF($A985="","",IF(COUNTIFS(Tasks!$B$5:$B$1000,$A985,Tasks!$A$5:$A$1000,"&lt;&gt;")=0,0,COUNTIFS(Tasks!$B$5:$B$1000,$A985,Tasks!$A$5:$A$1000,"&lt;&gt;",Tasks!$D$5:$D$1000,"Done")/COUNTIFS(Tasks!$B$5:$B$1000,$A985,Tasks!$A$5:$A$1000,"&lt;&gt;")))</f>
        <v/>
      </c>
      <c r="K985" s="11" t="str">
        <f>IF(OR($A985="",$F985=""),"",$F985-Overview!$B$3)</f>
        <v/>
      </c>
    </row>
    <row r="986" spans="4:11" x14ac:dyDescent="0.25">
      <c r="D986" s="18" t="str">
        <f>IF($C986="","",IFERROR(INDEX(Clients!$B$5:$B$1000,MATCH($C986,Clients!$A$5:$A$1000,0)),"Unknown client ID"))</f>
        <v/>
      </c>
      <c r="E986" s="16"/>
      <c r="F986" s="16"/>
      <c r="G986" s="17"/>
      <c r="J986" s="12" t="str">
        <f>IF($A986="","",IF(COUNTIFS(Tasks!$B$5:$B$1000,$A986,Tasks!$A$5:$A$1000,"&lt;&gt;")=0,0,COUNTIFS(Tasks!$B$5:$B$1000,$A986,Tasks!$A$5:$A$1000,"&lt;&gt;",Tasks!$D$5:$D$1000,"Done")/COUNTIFS(Tasks!$B$5:$B$1000,$A986,Tasks!$A$5:$A$1000,"&lt;&gt;")))</f>
        <v/>
      </c>
      <c r="K986" s="11" t="str">
        <f>IF(OR($A986="",$F986=""),"",$F986-Overview!$B$3)</f>
        <v/>
      </c>
    </row>
    <row r="987" spans="4:11" x14ac:dyDescent="0.25">
      <c r="D987" s="18" t="str">
        <f>IF($C987="","",IFERROR(INDEX(Clients!$B$5:$B$1000,MATCH($C987,Clients!$A$5:$A$1000,0)),"Unknown client ID"))</f>
        <v/>
      </c>
      <c r="E987" s="16"/>
      <c r="F987" s="16"/>
      <c r="G987" s="17"/>
      <c r="J987" s="12" t="str">
        <f>IF($A987="","",IF(COUNTIFS(Tasks!$B$5:$B$1000,$A987,Tasks!$A$5:$A$1000,"&lt;&gt;")=0,0,COUNTIFS(Tasks!$B$5:$B$1000,$A987,Tasks!$A$5:$A$1000,"&lt;&gt;",Tasks!$D$5:$D$1000,"Done")/COUNTIFS(Tasks!$B$5:$B$1000,$A987,Tasks!$A$5:$A$1000,"&lt;&gt;")))</f>
        <v/>
      </c>
      <c r="K987" s="11" t="str">
        <f>IF(OR($A987="",$F987=""),"",$F987-Overview!$B$3)</f>
        <v/>
      </c>
    </row>
    <row r="988" spans="4:11" x14ac:dyDescent="0.25">
      <c r="D988" s="18" t="str">
        <f>IF($C988="","",IFERROR(INDEX(Clients!$B$5:$B$1000,MATCH($C988,Clients!$A$5:$A$1000,0)),"Unknown client ID"))</f>
        <v/>
      </c>
      <c r="E988" s="16"/>
      <c r="F988" s="16"/>
      <c r="G988" s="17"/>
      <c r="J988" s="12" t="str">
        <f>IF($A988="","",IF(COUNTIFS(Tasks!$B$5:$B$1000,$A988,Tasks!$A$5:$A$1000,"&lt;&gt;")=0,0,COUNTIFS(Tasks!$B$5:$B$1000,$A988,Tasks!$A$5:$A$1000,"&lt;&gt;",Tasks!$D$5:$D$1000,"Done")/COUNTIFS(Tasks!$B$5:$B$1000,$A988,Tasks!$A$5:$A$1000,"&lt;&gt;")))</f>
        <v/>
      </c>
      <c r="K988" s="11" t="str">
        <f>IF(OR($A988="",$F988=""),"",$F988-Overview!$B$3)</f>
        <v/>
      </c>
    </row>
    <row r="989" spans="4:11" x14ac:dyDescent="0.25">
      <c r="D989" s="18" t="str">
        <f>IF($C989="","",IFERROR(INDEX(Clients!$B$5:$B$1000,MATCH($C989,Clients!$A$5:$A$1000,0)),"Unknown client ID"))</f>
        <v/>
      </c>
      <c r="E989" s="16"/>
      <c r="F989" s="16"/>
      <c r="G989" s="17"/>
      <c r="J989" s="12" t="str">
        <f>IF($A989="","",IF(COUNTIFS(Tasks!$B$5:$B$1000,$A989,Tasks!$A$5:$A$1000,"&lt;&gt;")=0,0,COUNTIFS(Tasks!$B$5:$B$1000,$A989,Tasks!$A$5:$A$1000,"&lt;&gt;",Tasks!$D$5:$D$1000,"Done")/COUNTIFS(Tasks!$B$5:$B$1000,$A989,Tasks!$A$5:$A$1000,"&lt;&gt;")))</f>
        <v/>
      </c>
      <c r="K989" s="11" t="str">
        <f>IF(OR($A989="",$F989=""),"",$F989-Overview!$B$3)</f>
        <v/>
      </c>
    </row>
    <row r="990" spans="4:11" x14ac:dyDescent="0.25">
      <c r="D990" s="18" t="str">
        <f>IF($C990="","",IFERROR(INDEX(Clients!$B$5:$B$1000,MATCH($C990,Clients!$A$5:$A$1000,0)),"Unknown client ID"))</f>
        <v/>
      </c>
      <c r="E990" s="16"/>
      <c r="F990" s="16"/>
      <c r="G990" s="17"/>
      <c r="J990" s="12" t="str">
        <f>IF($A990="","",IF(COUNTIFS(Tasks!$B$5:$B$1000,$A990,Tasks!$A$5:$A$1000,"&lt;&gt;")=0,0,COUNTIFS(Tasks!$B$5:$B$1000,$A990,Tasks!$A$5:$A$1000,"&lt;&gt;",Tasks!$D$5:$D$1000,"Done")/COUNTIFS(Tasks!$B$5:$B$1000,$A990,Tasks!$A$5:$A$1000,"&lt;&gt;")))</f>
        <v/>
      </c>
      <c r="K990" s="11" t="str">
        <f>IF(OR($A990="",$F990=""),"",$F990-Overview!$B$3)</f>
        <v/>
      </c>
    </row>
    <row r="991" spans="4:11" x14ac:dyDescent="0.25">
      <c r="D991" s="18" t="str">
        <f>IF($C991="","",IFERROR(INDEX(Clients!$B$5:$B$1000,MATCH($C991,Clients!$A$5:$A$1000,0)),"Unknown client ID"))</f>
        <v/>
      </c>
      <c r="E991" s="16"/>
      <c r="F991" s="16"/>
      <c r="G991" s="17"/>
      <c r="J991" s="12" t="str">
        <f>IF($A991="","",IF(COUNTIFS(Tasks!$B$5:$B$1000,$A991,Tasks!$A$5:$A$1000,"&lt;&gt;")=0,0,COUNTIFS(Tasks!$B$5:$B$1000,$A991,Tasks!$A$5:$A$1000,"&lt;&gt;",Tasks!$D$5:$D$1000,"Done")/COUNTIFS(Tasks!$B$5:$B$1000,$A991,Tasks!$A$5:$A$1000,"&lt;&gt;")))</f>
        <v/>
      </c>
      <c r="K991" s="11" t="str">
        <f>IF(OR($A991="",$F991=""),"",$F991-Overview!$B$3)</f>
        <v/>
      </c>
    </row>
    <row r="992" spans="4:11" x14ac:dyDescent="0.25">
      <c r="D992" s="18" t="str">
        <f>IF($C992="","",IFERROR(INDEX(Clients!$B$5:$B$1000,MATCH($C992,Clients!$A$5:$A$1000,0)),"Unknown client ID"))</f>
        <v/>
      </c>
      <c r="E992" s="16"/>
      <c r="F992" s="16"/>
      <c r="G992" s="17"/>
      <c r="J992" s="12" t="str">
        <f>IF($A992="","",IF(COUNTIFS(Tasks!$B$5:$B$1000,$A992,Tasks!$A$5:$A$1000,"&lt;&gt;")=0,0,COUNTIFS(Tasks!$B$5:$B$1000,$A992,Tasks!$A$5:$A$1000,"&lt;&gt;",Tasks!$D$5:$D$1000,"Done")/COUNTIFS(Tasks!$B$5:$B$1000,$A992,Tasks!$A$5:$A$1000,"&lt;&gt;")))</f>
        <v/>
      </c>
      <c r="K992" s="11" t="str">
        <f>IF(OR($A992="",$F992=""),"",$F992-Overview!$B$3)</f>
        <v/>
      </c>
    </row>
    <row r="993" spans="4:11" x14ac:dyDescent="0.25">
      <c r="D993" s="18" t="str">
        <f>IF($C993="","",IFERROR(INDEX(Clients!$B$5:$B$1000,MATCH($C993,Clients!$A$5:$A$1000,0)),"Unknown client ID"))</f>
        <v/>
      </c>
      <c r="E993" s="16"/>
      <c r="F993" s="16"/>
      <c r="G993" s="17"/>
      <c r="J993" s="12" t="str">
        <f>IF($A993="","",IF(COUNTIFS(Tasks!$B$5:$B$1000,$A993,Tasks!$A$5:$A$1000,"&lt;&gt;")=0,0,COUNTIFS(Tasks!$B$5:$B$1000,$A993,Tasks!$A$5:$A$1000,"&lt;&gt;",Tasks!$D$5:$D$1000,"Done")/COUNTIFS(Tasks!$B$5:$B$1000,$A993,Tasks!$A$5:$A$1000,"&lt;&gt;")))</f>
        <v/>
      </c>
      <c r="K993" s="11" t="str">
        <f>IF(OR($A993="",$F993=""),"",$F993-Overview!$B$3)</f>
        <v/>
      </c>
    </row>
    <row r="994" spans="4:11" x14ac:dyDescent="0.25">
      <c r="D994" s="18" t="str">
        <f>IF($C994="","",IFERROR(INDEX(Clients!$B$5:$B$1000,MATCH($C994,Clients!$A$5:$A$1000,0)),"Unknown client ID"))</f>
        <v/>
      </c>
      <c r="E994" s="16"/>
      <c r="F994" s="16"/>
      <c r="G994" s="17"/>
      <c r="J994" s="12" t="str">
        <f>IF($A994="","",IF(COUNTIFS(Tasks!$B$5:$B$1000,$A994,Tasks!$A$5:$A$1000,"&lt;&gt;")=0,0,COUNTIFS(Tasks!$B$5:$B$1000,$A994,Tasks!$A$5:$A$1000,"&lt;&gt;",Tasks!$D$5:$D$1000,"Done")/COUNTIFS(Tasks!$B$5:$B$1000,$A994,Tasks!$A$5:$A$1000,"&lt;&gt;")))</f>
        <v/>
      </c>
      <c r="K994" s="11" t="str">
        <f>IF(OR($A994="",$F994=""),"",$F994-Overview!$B$3)</f>
        <v/>
      </c>
    </row>
    <row r="995" spans="4:11" x14ac:dyDescent="0.25">
      <c r="D995" s="18" t="str">
        <f>IF($C995="","",IFERROR(INDEX(Clients!$B$5:$B$1000,MATCH($C995,Clients!$A$5:$A$1000,0)),"Unknown client ID"))</f>
        <v/>
      </c>
      <c r="E995" s="16"/>
      <c r="F995" s="16"/>
      <c r="G995" s="17"/>
      <c r="J995" s="12" t="str">
        <f>IF($A995="","",IF(COUNTIFS(Tasks!$B$5:$B$1000,$A995,Tasks!$A$5:$A$1000,"&lt;&gt;")=0,0,COUNTIFS(Tasks!$B$5:$B$1000,$A995,Tasks!$A$5:$A$1000,"&lt;&gt;",Tasks!$D$5:$D$1000,"Done")/COUNTIFS(Tasks!$B$5:$B$1000,$A995,Tasks!$A$5:$A$1000,"&lt;&gt;")))</f>
        <v/>
      </c>
      <c r="K995" s="11" t="str">
        <f>IF(OR($A995="",$F995=""),"",$F995-Overview!$B$3)</f>
        <v/>
      </c>
    </row>
    <row r="996" spans="4:11" x14ac:dyDescent="0.25">
      <c r="D996" s="18" t="str">
        <f>IF($C996="","",IFERROR(INDEX(Clients!$B$5:$B$1000,MATCH($C996,Clients!$A$5:$A$1000,0)),"Unknown client ID"))</f>
        <v/>
      </c>
      <c r="E996" s="16"/>
      <c r="F996" s="16"/>
      <c r="G996" s="17"/>
      <c r="J996" s="12" t="str">
        <f>IF($A996="","",IF(COUNTIFS(Tasks!$B$5:$B$1000,$A996,Tasks!$A$5:$A$1000,"&lt;&gt;")=0,0,COUNTIFS(Tasks!$B$5:$B$1000,$A996,Tasks!$A$5:$A$1000,"&lt;&gt;",Tasks!$D$5:$D$1000,"Done")/COUNTIFS(Tasks!$B$5:$B$1000,$A996,Tasks!$A$5:$A$1000,"&lt;&gt;")))</f>
        <v/>
      </c>
      <c r="K996" s="11" t="str">
        <f>IF(OR($A996="",$F996=""),"",$F996-Overview!$B$3)</f>
        <v/>
      </c>
    </row>
    <row r="997" spans="4:11" x14ac:dyDescent="0.25">
      <c r="D997" s="18" t="str">
        <f>IF($C997="","",IFERROR(INDEX(Clients!$B$5:$B$1000,MATCH($C997,Clients!$A$5:$A$1000,0)),"Unknown client ID"))</f>
        <v/>
      </c>
      <c r="E997" s="16"/>
      <c r="F997" s="16"/>
      <c r="G997" s="17"/>
      <c r="J997" s="12" t="str">
        <f>IF($A997="","",IF(COUNTIFS(Tasks!$B$5:$B$1000,$A997,Tasks!$A$5:$A$1000,"&lt;&gt;")=0,0,COUNTIFS(Tasks!$B$5:$B$1000,$A997,Tasks!$A$5:$A$1000,"&lt;&gt;",Tasks!$D$5:$D$1000,"Done")/COUNTIFS(Tasks!$B$5:$B$1000,$A997,Tasks!$A$5:$A$1000,"&lt;&gt;")))</f>
        <v/>
      </c>
      <c r="K997" s="11" t="str">
        <f>IF(OR($A997="",$F997=""),"",$F997-Overview!$B$3)</f>
        <v/>
      </c>
    </row>
    <row r="998" spans="4:11" x14ac:dyDescent="0.25">
      <c r="D998" s="18" t="str">
        <f>IF($C998="","",IFERROR(INDEX(Clients!$B$5:$B$1000,MATCH($C998,Clients!$A$5:$A$1000,0)),"Unknown client ID"))</f>
        <v/>
      </c>
      <c r="E998" s="16"/>
      <c r="F998" s="16"/>
      <c r="G998" s="17"/>
      <c r="J998" s="12" t="str">
        <f>IF($A998="","",IF(COUNTIFS(Tasks!$B$5:$B$1000,$A998,Tasks!$A$5:$A$1000,"&lt;&gt;")=0,0,COUNTIFS(Tasks!$B$5:$B$1000,$A998,Tasks!$A$5:$A$1000,"&lt;&gt;",Tasks!$D$5:$D$1000,"Done")/COUNTIFS(Tasks!$B$5:$B$1000,$A998,Tasks!$A$5:$A$1000,"&lt;&gt;")))</f>
        <v/>
      </c>
      <c r="K998" s="11" t="str">
        <f>IF(OR($A998="",$F998=""),"",$F998-Overview!$B$3)</f>
        <v/>
      </c>
    </row>
    <row r="999" spans="4:11" x14ac:dyDescent="0.25">
      <c r="D999" s="18" t="str">
        <f>IF($C999="","",IFERROR(INDEX(Clients!$B$5:$B$1000,MATCH($C999,Clients!$A$5:$A$1000,0)),"Unknown client ID"))</f>
        <v/>
      </c>
      <c r="E999" s="16"/>
      <c r="F999" s="16"/>
      <c r="G999" s="17"/>
      <c r="J999" s="12" t="str">
        <f>IF($A999="","",IF(COUNTIFS(Tasks!$B$5:$B$1000,$A999,Tasks!$A$5:$A$1000,"&lt;&gt;")=0,0,COUNTIFS(Tasks!$B$5:$B$1000,$A999,Tasks!$A$5:$A$1000,"&lt;&gt;",Tasks!$D$5:$D$1000,"Done")/COUNTIFS(Tasks!$B$5:$B$1000,$A999,Tasks!$A$5:$A$1000,"&lt;&gt;")))</f>
        <v/>
      </c>
      <c r="K999" s="11" t="str">
        <f>IF(OR($A999="",$F999=""),"",$F999-Overview!$B$3)</f>
        <v/>
      </c>
    </row>
    <row r="1000" spans="4:11" x14ac:dyDescent="0.25">
      <c r="D1000" s="18" t="str">
        <f>IF($C1000="","",IFERROR(INDEX(Clients!$B$5:$B$1000,MATCH($C1000,Clients!$A$5:$A$1000,0)),"Unknown client ID"))</f>
        <v/>
      </c>
      <c r="E1000" s="16"/>
      <c r="F1000" s="16"/>
      <c r="G1000" s="17"/>
      <c r="J1000" s="12" t="str">
        <f>IF($A1000="","",IF(COUNTIFS(Tasks!$B$5:$B$1000,$A1000,Tasks!$A$5:$A$1000,"&lt;&gt;")=0,0,COUNTIFS(Tasks!$B$5:$B$1000,$A1000,Tasks!$A$5:$A$1000,"&lt;&gt;",Tasks!$D$5:$D$1000,"Done")/COUNTIFS(Tasks!$B$5:$B$1000,$A1000,Tasks!$A$5:$A$1000,"&lt;&gt;")))</f>
        <v/>
      </c>
      <c r="K1000" s="11" t="str">
        <f>IF(OR($A1000="",$F1000=""),"",$F1000-Overview!$B$3)</f>
        <v/>
      </c>
    </row>
  </sheetData>
  <conditionalFormatting sqref="F5:F1000 K5:K1000">
    <cfRule type="expression" dxfId="3" priority="1">
      <formula>AND(ISNUMBER($K5),$K5&lt;0,$H5&lt;&gt;"Completed",$H5&lt;&gt;"Cancelled")</formula>
    </cfRule>
    <cfRule type="expression" dxfId="4" priority="2">
      <formula>AND(ISNUMBER($K5),$K5&gt;=0,$K5&lt;=Overview!$B$4,$H5&lt;&gt;"Completed",$H5&lt;&gt;"Cancelled")</formula>
    </cfRule>
  </conditionalFormatting>
  <conditionalFormatting sqref="H5:H1000">
    <cfRule type="cellIs" dxfId="5" priority="3" operator="equal">
      <formula>"Completed"</formula>
    </cfRule>
    <cfRule type="cellIs" dxfId="6" priority="4" operator="equal">
      <formula>"Active"</formula>
    </cfRule>
    <cfRule type="cellIs" dxfId="7" priority="5" operator="equal">
      <formula>"On hold"</formula>
    </cfRule>
    <cfRule type="cellIs" dxfId="8" priority="6" operator="equal">
      <formula>"Cancelled"</formula>
    </cfRule>
  </conditionalFormatting>
  <conditionalFormatting sqref="J5:J1000">
    <cfRule type="dataBar" priority="7">
      <dataBar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{D01848AC-87AD-4E3C-8E2C-4921F2ADC41C}</x14:id>
        </ext>
      </extLst>
    </cfRule>
  </conditionalFormatting>
  <dataValidations count="3">
    <dataValidation type="list" allowBlank="1" showInputMessage="1" promptTitle="Client ID" prompt="Pick a Client ID from the Clients sheet." showErrorMessage="1" errorStyle="stop" errorTitle="Choose from the list" error="Please pick a value from the drop-down list (edit the list on the Settings sheet)." sqref="C5:C1000">
      <formula1>Clients!$A$5:$A$1000</formula1>
    </dataValidation>
    <dataValidation type="list" allowBlank="1" showInputMessage="1" promptTitle="Status" prompt="Completed and Cancelled projects are treated as closed." showErrorMessage="1" errorStyle="stop" errorTitle="Choose from the list" error="Please pick a value from the drop-down list (edit the list on the Settings sheet)." sqref="H5:H1000">
      <formula1>"Planned,Active,On hold,Completed,Cancelled"</formula1>
    </dataValidation>
    <dataValidation type="list" allowBlank="1" promptTitle="Priority" showErrorMessage="1" errorStyle="stop" errorTitle="Choose from the list" error="Please pick a value from the drop-down list (edit the list on the Settings sheet)." sqref="I5:I1000">
      <formula1>"Low,Medium,High,Urgent"</formula1>
    </dataValidation>
  </dataValidations>
  <pageSetup orientation="landscape" fitToWidth="1" fitToHeight="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1848AC-87AD-4E3C-8E2C-4921F2ADC41C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J5:J1000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00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32" customWidth="1"/>
    <col min="2" max="2" width="11" customWidth="1"/>
    <col min="3" max="3" width="20" customWidth="1"/>
    <col min="4" max="4" width="14" customWidth="1"/>
    <col min="5" max="5" width="11" customWidth="1"/>
    <col min="6" max="7" width="14" style="16" customWidth="1"/>
    <col min="8" max="8" width="13" customWidth="1"/>
  </cols>
  <sheetData>
    <row r="1" ht="24" customHeight="1" spans="1:7" x14ac:dyDescent="0.25">
      <c r="A1" s="14" t="s">
        <v>37</v>
      </c>
      <c r="F1" s="16"/>
      <c r="G1" s="16"/>
    </row>
    <row r="2" spans="1:7" x14ac:dyDescent="0.25">
      <c r="A2" s="15" t="s">
        <v>125</v>
      </c>
      <c r="F2" s="16"/>
      <c r="G2" s="16"/>
    </row>
    <row r="4" spans="1:8" x14ac:dyDescent="0.25">
      <c r="A4" t="s">
        <v>126</v>
      </c>
      <c r="B4" t="s">
        <v>104</v>
      </c>
      <c r="C4" t="s">
        <v>127</v>
      </c>
      <c r="D4" t="s">
        <v>36</v>
      </c>
      <c r="E4" t="s">
        <v>51</v>
      </c>
      <c r="F4" s="16" t="s">
        <v>128</v>
      </c>
      <c r="G4" s="16" t="s">
        <v>129</v>
      </c>
      <c r="H4" t="s">
        <v>130</v>
      </c>
    </row>
    <row r="5" spans="1:8" x14ac:dyDescent="0.25">
      <c r="A5" t="s">
        <v>131</v>
      </c>
      <c r="B5" t="s">
        <v>111</v>
      </c>
      <c r="C5" t="s">
        <v>132</v>
      </c>
      <c r="D5" t="s">
        <v>46</v>
      </c>
      <c r="E5" t="s">
        <v>57</v>
      </c>
      <c r="F5" s="16">
        <v>46277</v>
      </c>
      <c r="G5" s="16">
        <v>46276</v>
      </c>
      <c r="H5" s="11">
        <f>IF(OR($A5="",$F5=""),"",IF($D5="Done",0,MAX(0,Overview!$B$3-$F5)))</f>
        <v>0</v>
      </c>
    </row>
    <row r="6" spans="1:8" x14ac:dyDescent="0.25">
      <c r="A6" t="s">
        <v>133</v>
      </c>
      <c r="B6" t="s">
        <v>111</v>
      </c>
      <c r="C6" t="s">
        <v>132</v>
      </c>
      <c r="D6" t="s">
        <v>46</v>
      </c>
      <c r="E6" t="s">
        <v>58</v>
      </c>
      <c r="F6" s="16">
        <v>46291</v>
      </c>
      <c r="G6" s="16">
        <v>46294</v>
      </c>
      <c r="H6" s="11">
        <f>IF(OR($A6="",$F6=""),"",IF($D6="Done",0,MAX(0,Overview!$B$3-$F6)))</f>
        <v>0</v>
      </c>
    </row>
    <row r="7" spans="1:8" x14ac:dyDescent="0.25">
      <c r="A7" t="s">
        <v>134</v>
      </c>
      <c r="B7" t="s">
        <v>111</v>
      </c>
      <c r="C7" t="s">
        <v>135</v>
      </c>
      <c r="D7" t="s">
        <v>42</v>
      </c>
      <c r="E7" t="s">
        <v>58</v>
      </c>
      <c r="F7" s="16">
        <v>46315</v>
      </c>
      <c r="G7" s="16"/>
      <c r="H7" s="11">
        <f>IF(OR($A7="",$F7=""),"",IF($D7="Done",0,MAX(0,Overview!$B$3-$F7)))</f>
        <v>8</v>
      </c>
    </row>
    <row r="8" spans="1:8" x14ac:dyDescent="0.25">
      <c r="A8" t="s">
        <v>136</v>
      </c>
      <c r="B8" t="s">
        <v>111</v>
      </c>
      <c r="C8" t="s">
        <v>132</v>
      </c>
      <c r="D8" t="s">
        <v>42</v>
      </c>
      <c r="E8" t="s">
        <v>58</v>
      </c>
      <c r="F8" s="16">
        <v>46331</v>
      </c>
      <c r="G8" s="16"/>
      <c r="H8" s="11">
        <f>IF(OR($A8="",$F8=""),"",IF($D8="Done",0,MAX(0,Overview!$B$3-$F8)))</f>
        <v>0</v>
      </c>
    </row>
    <row r="9" spans="1:8" x14ac:dyDescent="0.25">
      <c r="A9" t="s">
        <v>137</v>
      </c>
      <c r="B9" t="s">
        <v>111</v>
      </c>
      <c r="C9" t="s">
        <v>132</v>
      </c>
      <c r="D9" t="s">
        <v>40</v>
      </c>
      <c r="E9" t="s">
        <v>57</v>
      </c>
      <c r="F9" s="16">
        <v>46335</v>
      </c>
      <c r="G9" s="16"/>
      <c r="H9" s="11">
        <f>IF(OR($A9="",$F9=""),"",IF($D9="Done",0,MAX(0,Overview!$B$3-$F9)))</f>
        <v>0</v>
      </c>
    </row>
    <row r="10" spans="1:8" x14ac:dyDescent="0.25">
      <c r="A10" t="s">
        <v>138</v>
      </c>
      <c r="B10" t="s">
        <v>113</v>
      </c>
      <c r="C10" t="s">
        <v>132</v>
      </c>
      <c r="D10" t="s">
        <v>46</v>
      </c>
      <c r="E10" t="s">
        <v>57</v>
      </c>
      <c r="F10" s="16">
        <v>46290</v>
      </c>
      <c r="G10" s="16">
        <v>46289</v>
      </c>
      <c r="H10" s="11">
        <f>IF(OR($A10="",$F10=""),"",IF($D10="Done",0,MAX(0,Overview!$B$3-$F10)))</f>
        <v>0</v>
      </c>
    </row>
    <row r="11" spans="1:8" x14ac:dyDescent="0.25">
      <c r="A11" t="s">
        <v>139</v>
      </c>
      <c r="B11" t="s">
        <v>113</v>
      </c>
      <c r="C11" t="s">
        <v>140</v>
      </c>
      <c r="D11" t="s">
        <v>46</v>
      </c>
      <c r="E11" t="s">
        <v>58</v>
      </c>
      <c r="F11" s="16">
        <v>46305</v>
      </c>
      <c r="G11" s="16">
        <v>46307</v>
      </c>
      <c r="H11" s="11">
        <f>IF(OR($A11="",$F11=""),"",IF($D11="Done",0,MAX(0,Overview!$B$3-$F11)))</f>
        <v>0</v>
      </c>
    </row>
    <row r="12" spans="1:8" x14ac:dyDescent="0.25">
      <c r="A12" t="s">
        <v>141</v>
      </c>
      <c r="B12" t="s">
        <v>113</v>
      </c>
      <c r="C12" t="s">
        <v>132</v>
      </c>
      <c r="D12" t="s">
        <v>44</v>
      </c>
      <c r="E12" t="s">
        <v>59</v>
      </c>
      <c r="F12" s="16">
        <v>46319</v>
      </c>
      <c r="G12" s="16"/>
      <c r="H12" s="11">
        <f>IF(OR($A12="",$F12=""),"",IF($D12="Done",0,MAX(0,Overview!$B$3-$F12)))</f>
        <v>4</v>
      </c>
    </row>
    <row r="13" spans="1:8" x14ac:dyDescent="0.25">
      <c r="A13" t="s">
        <v>142</v>
      </c>
      <c r="B13" t="s">
        <v>113</v>
      </c>
      <c r="C13" t="s">
        <v>132</v>
      </c>
      <c r="D13" t="s">
        <v>40</v>
      </c>
      <c r="E13" t="s">
        <v>59</v>
      </c>
      <c r="F13" s="16">
        <v>46324</v>
      </c>
      <c r="G13" s="16"/>
      <c r="H13" s="11">
        <f>IF(OR($A13="",$F13=""),"",IF($D13="Done",0,MAX(0,Overview!$B$3-$F13)))</f>
        <v>0</v>
      </c>
    </row>
    <row r="14" spans="1:8" x14ac:dyDescent="0.25">
      <c r="A14" t="s">
        <v>143</v>
      </c>
      <c r="B14" t="s">
        <v>115</v>
      </c>
      <c r="C14" t="s">
        <v>132</v>
      </c>
      <c r="D14" t="s">
        <v>46</v>
      </c>
      <c r="E14" t="s">
        <v>56</v>
      </c>
      <c r="F14" s="16">
        <v>46302</v>
      </c>
      <c r="G14" s="16">
        <v>46302</v>
      </c>
      <c r="H14" s="11">
        <f>IF(OR($A14="",$F14=""),"",IF($D14="Done",0,MAX(0,Overview!$B$3-$F14)))</f>
        <v>0</v>
      </c>
    </row>
    <row r="15" spans="1:8" x14ac:dyDescent="0.25">
      <c r="A15" t="s">
        <v>144</v>
      </c>
      <c r="B15" t="s">
        <v>115</v>
      </c>
      <c r="C15" t="s">
        <v>132</v>
      </c>
      <c r="D15" t="s">
        <v>42</v>
      </c>
      <c r="E15" t="s">
        <v>58</v>
      </c>
      <c r="F15" s="16">
        <v>46323</v>
      </c>
      <c r="G15" s="16"/>
      <c r="H15" s="11">
        <f>IF(OR($A15="",$F15=""),"",IF($D15="Done",0,MAX(0,Overview!$B$3-$F15)))</f>
        <v>0</v>
      </c>
    </row>
    <row r="16" spans="1:8" x14ac:dyDescent="0.25">
      <c r="A16" t="s">
        <v>145</v>
      </c>
      <c r="B16" t="s">
        <v>115</v>
      </c>
      <c r="C16" t="s">
        <v>135</v>
      </c>
      <c r="D16" t="s">
        <v>40</v>
      </c>
      <c r="E16" t="s">
        <v>58</v>
      </c>
      <c r="F16" s="16">
        <v>46346</v>
      </c>
      <c r="G16" s="16"/>
      <c r="H16" s="11">
        <f>IF(OR($A16="",$F16=""),"",IF($D16="Done",0,MAX(0,Overview!$B$3-$F16)))</f>
        <v>0</v>
      </c>
    </row>
    <row r="17" spans="1:8" x14ac:dyDescent="0.25">
      <c r="A17" t="s">
        <v>146</v>
      </c>
      <c r="B17" t="s">
        <v>115</v>
      </c>
      <c r="C17" t="s">
        <v>132</v>
      </c>
      <c r="D17" t="s">
        <v>40</v>
      </c>
      <c r="E17" t="s">
        <v>57</v>
      </c>
      <c r="F17" s="16">
        <v>46360</v>
      </c>
      <c r="G17" s="16"/>
      <c r="H17" s="11">
        <f>IF(OR($A17="",$F17=""),"",IF($D17="Done",0,MAX(0,Overview!$B$3-$F17)))</f>
        <v>0</v>
      </c>
    </row>
    <row r="18" spans="1:8" x14ac:dyDescent="0.25">
      <c r="A18" t="s">
        <v>147</v>
      </c>
      <c r="B18" t="s">
        <v>117</v>
      </c>
      <c r="C18" t="s">
        <v>132</v>
      </c>
      <c r="D18" t="s">
        <v>46</v>
      </c>
      <c r="E18" t="s">
        <v>56</v>
      </c>
      <c r="F18" s="16">
        <v>46249</v>
      </c>
      <c r="G18" s="16">
        <v>46248</v>
      </c>
      <c r="H18" s="11">
        <f>IF(OR($A18="",$F18=""),"",IF($D18="Done",0,MAX(0,Overview!$B$3-$F18)))</f>
        <v>0</v>
      </c>
    </row>
    <row r="19" spans="1:8" x14ac:dyDescent="0.25">
      <c r="A19" t="s">
        <v>148</v>
      </c>
      <c r="B19" t="s">
        <v>117</v>
      </c>
      <c r="C19" t="s">
        <v>132</v>
      </c>
      <c r="D19" t="s">
        <v>46</v>
      </c>
      <c r="E19" t="s">
        <v>57</v>
      </c>
      <c r="F19" s="16">
        <v>46275</v>
      </c>
      <c r="G19" s="16">
        <v>46277</v>
      </c>
      <c r="H19" s="11">
        <f>IF(OR($A19="",$F19=""),"",IF($D19="Done",0,MAX(0,Overview!$B$3-$F19)))</f>
        <v>0</v>
      </c>
    </row>
    <row r="20" spans="1:8" x14ac:dyDescent="0.25">
      <c r="A20" t="s">
        <v>149</v>
      </c>
      <c r="B20" t="s">
        <v>119</v>
      </c>
      <c r="C20" t="s">
        <v>132</v>
      </c>
      <c r="D20" t="s">
        <v>40</v>
      </c>
      <c r="E20" t="s">
        <v>57</v>
      </c>
      <c r="F20" s="16">
        <v>46330</v>
      </c>
      <c r="G20" s="16"/>
      <c r="H20" s="11">
        <f>IF(OR($A20="",$F20=""),"",IF($D20="Done",0,MAX(0,Overview!$B$3-$F20)))</f>
        <v>0</v>
      </c>
    </row>
    <row r="21" spans="1:8" x14ac:dyDescent="0.25">
      <c r="A21" t="s">
        <v>150</v>
      </c>
      <c r="B21" t="s">
        <v>119</v>
      </c>
      <c r="C21" t="s">
        <v>132</v>
      </c>
      <c r="D21" t="s">
        <v>40</v>
      </c>
      <c r="E21" t="s">
        <v>56</v>
      </c>
      <c r="F21" s="16">
        <v>46338</v>
      </c>
      <c r="G21" s="16"/>
      <c r="H21" s="11">
        <f>IF(OR($A21="",$F21=""),"",IF($D21="Done",0,MAX(0,Overview!$B$3-$F21)))</f>
        <v>0</v>
      </c>
    </row>
    <row r="22" spans="1:8" x14ac:dyDescent="0.25">
      <c r="A22" t="s">
        <v>151</v>
      </c>
      <c r="B22" t="s">
        <v>121</v>
      </c>
      <c r="C22" t="s">
        <v>132</v>
      </c>
      <c r="D22" t="s">
        <v>46</v>
      </c>
      <c r="E22" t="s">
        <v>56</v>
      </c>
      <c r="F22" s="16">
        <v>46223</v>
      </c>
      <c r="G22" s="16">
        <v>46223</v>
      </c>
      <c r="H22" s="11">
        <f>IF(OR($A22="",$F22=""),"",IF($D22="Done",0,MAX(0,Overview!$B$3-$F22)))</f>
        <v>0</v>
      </c>
    </row>
    <row r="23" spans="1:8" x14ac:dyDescent="0.25">
      <c r="A23" t="s">
        <v>152</v>
      </c>
      <c r="B23" t="s">
        <v>123</v>
      </c>
      <c r="C23" t="s">
        <v>140</v>
      </c>
      <c r="D23" t="s">
        <v>44</v>
      </c>
      <c r="E23" t="s">
        <v>57</v>
      </c>
      <c r="F23" s="16">
        <v>46351</v>
      </c>
      <c r="G23" s="16"/>
      <c r="H23" s="11">
        <f>IF(OR($A23="",$F23=""),"",IF($D23="Done",0,MAX(0,Overview!$B$3-$F23)))</f>
        <v>0</v>
      </c>
    </row>
    <row r="24" spans="1:8" x14ac:dyDescent="0.25">
      <c r="A24" t="s">
        <v>153</v>
      </c>
      <c r="B24" t="s">
        <v>123</v>
      </c>
      <c r="C24" t="s">
        <v>132</v>
      </c>
      <c r="D24" t="s">
        <v>40</v>
      </c>
      <c r="E24" t="s">
        <v>58</v>
      </c>
      <c r="F24" s="16">
        <v>46358</v>
      </c>
      <c r="G24" s="16"/>
      <c r="H24" s="11">
        <f>IF(OR($A24="",$F24=""),"",IF($D24="Done",0,MAX(0,Overview!$B$3-$F24)))</f>
        <v>0</v>
      </c>
    </row>
    <row r="25" spans="1:8" x14ac:dyDescent="0.25">
      <c r="A25" t="s">
        <v>154</v>
      </c>
      <c r="B25" t="s">
        <v>117</v>
      </c>
      <c r="C25" t="s">
        <v>132</v>
      </c>
      <c r="D25" t="s">
        <v>42</v>
      </c>
      <c r="E25" t="s">
        <v>59</v>
      </c>
      <c r="F25" s="16">
        <v>46311</v>
      </c>
      <c r="G25" s="16"/>
      <c r="H25" s="11">
        <f>IF(OR($A25="",$F25=""),"",IF($D25="Done",0,MAX(0,Overview!$B$3-$F25)))</f>
        <v>12</v>
      </c>
    </row>
    <row r="26" spans="6:8" x14ac:dyDescent="0.25">
      <c r="F26" s="16"/>
      <c r="G26" s="16"/>
      <c r="H26" s="11" t="str">
        <f>IF(OR($A26="",$F26=""),"",IF($D26="Done",0,MAX(0,Overview!$B$3-$F26)))</f>
        <v/>
      </c>
    </row>
    <row r="27" spans="6:8" x14ac:dyDescent="0.25">
      <c r="F27" s="16"/>
      <c r="G27" s="16"/>
      <c r="H27" s="11" t="str">
        <f>IF(OR($A27="",$F27=""),"",IF($D27="Done",0,MAX(0,Overview!$B$3-$F27)))</f>
        <v/>
      </c>
    </row>
    <row r="28" spans="6:8" x14ac:dyDescent="0.25">
      <c r="F28" s="16"/>
      <c r="G28" s="16"/>
      <c r="H28" s="11" t="str">
        <f>IF(OR($A28="",$F28=""),"",IF($D28="Done",0,MAX(0,Overview!$B$3-$F28)))</f>
        <v/>
      </c>
    </row>
    <row r="29" spans="6:8" x14ac:dyDescent="0.25">
      <c r="F29" s="16"/>
      <c r="G29" s="16"/>
      <c r="H29" s="11" t="str">
        <f>IF(OR($A29="",$F29=""),"",IF($D29="Done",0,MAX(0,Overview!$B$3-$F29)))</f>
        <v/>
      </c>
    </row>
    <row r="30" spans="6:8" x14ac:dyDescent="0.25">
      <c r="F30" s="16"/>
      <c r="G30" s="16"/>
      <c r="H30" s="11" t="str">
        <f>IF(OR($A30="",$F30=""),"",IF($D30="Done",0,MAX(0,Overview!$B$3-$F30)))</f>
        <v/>
      </c>
    </row>
    <row r="31" spans="6:8" x14ac:dyDescent="0.25">
      <c r="F31" s="16"/>
      <c r="G31" s="16"/>
      <c r="H31" s="11" t="str">
        <f>IF(OR($A31="",$F31=""),"",IF($D31="Done",0,MAX(0,Overview!$B$3-$F31)))</f>
        <v/>
      </c>
    </row>
    <row r="32" spans="6:8" x14ac:dyDescent="0.25">
      <c r="F32" s="16"/>
      <c r="G32" s="16"/>
      <c r="H32" s="11" t="str">
        <f>IF(OR($A32="",$F32=""),"",IF($D32="Done",0,MAX(0,Overview!$B$3-$F32)))</f>
        <v/>
      </c>
    </row>
    <row r="33" spans="6:8" x14ac:dyDescent="0.25">
      <c r="F33" s="16"/>
      <c r="G33" s="16"/>
      <c r="H33" s="11" t="str">
        <f>IF(OR($A33="",$F33=""),"",IF($D33="Done",0,MAX(0,Overview!$B$3-$F33)))</f>
        <v/>
      </c>
    </row>
    <row r="34" spans="6:8" x14ac:dyDescent="0.25">
      <c r="F34" s="16"/>
      <c r="G34" s="16"/>
      <c r="H34" s="11" t="str">
        <f>IF(OR($A34="",$F34=""),"",IF($D34="Done",0,MAX(0,Overview!$B$3-$F34)))</f>
        <v/>
      </c>
    </row>
    <row r="35" spans="6:8" x14ac:dyDescent="0.25">
      <c r="F35" s="16"/>
      <c r="G35" s="16"/>
      <c r="H35" s="11" t="str">
        <f>IF(OR($A35="",$F35=""),"",IF($D35="Done",0,MAX(0,Overview!$B$3-$F35)))</f>
        <v/>
      </c>
    </row>
    <row r="36" spans="6:8" x14ac:dyDescent="0.25">
      <c r="F36" s="16"/>
      <c r="G36" s="16"/>
      <c r="H36" s="11" t="str">
        <f>IF(OR($A36="",$F36=""),"",IF($D36="Done",0,MAX(0,Overview!$B$3-$F36)))</f>
        <v/>
      </c>
    </row>
    <row r="37" spans="6:8" x14ac:dyDescent="0.25">
      <c r="F37" s="16"/>
      <c r="G37" s="16"/>
      <c r="H37" s="11" t="str">
        <f>IF(OR($A37="",$F37=""),"",IF($D37="Done",0,MAX(0,Overview!$B$3-$F37)))</f>
        <v/>
      </c>
    </row>
    <row r="38" spans="6:8" x14ac:dyDescent="0.25">
      <c r="F38" s="16"/>
      <c r="G38" s="16"/>
      <c r="H38" s="11" t="str">
        <f>IF(OR($A38="",$F38=""),"",IF($D38="Done",0,MAX(0,Overview!$B$3-$F38)))</f>
        <v/>
      </c>
    </row>
    <row r="39" spans="6:8" x14ac:dyDescent="0.25">
      <c r="F39" s="16"/>
      <c r="G39" s="16"/>
      <c r="H39" s="11" t="str">
        <f>IF(OR($A39="",$F39=""),"",IF($D39="Done",0,MAX(0,Overview!$B$3-$F39)))</f>
        <v/>
      </c>
    </row>
    <row r="40" spans="6:8" x14ac:dyDescent="0.25">
      <c r="F40" s="16"/>
      <c r="G40" s="16"/>
      <c r="H40" s="11" t="str">
        <f>IF(OR($A40="",$F40=""),"",IF($D40="Done",0,MAX(0,Overview!$B$3-$F40)))</f>
        <v/>
      </c>
    </row>
    <row r="41" spans="6:8" x14ac:dyDescent="0.25">
      <c r="F41" s="16"/>
      <c r="G41" s="16"/>
      <c r="H41" s="11" t="str">
        <f>IF(OR($A41="",$F41=""),"",IF($D41="Done",0,MAX(0,Overview!$B$3-$F41)))</f>
        <v/>
      </c>
    </row>
    <row r="42" spans="6:8" x14ac:dyDescent="0.25">
      <c r="F42" s="16"/>
      <c r="G42" s="16"/>
      <c r="H42" s="11" t="str">
        <f>IF(OR($A42="",$F42=""),"",IF($D42="Done",0,MAX(0,Overview!$B$3-$F42)))</f>
        <v/>
      </c>
    </row>
    <row r="43" spans="6:8" x14ac:dyDescent="0.25">
      <c r="F43" s="16"/>
      <c r="G43" s="16"/>
      <c r="H43" s="11" t="str">
        <f>IF(OR($A43="",$F43=""),"",IF($D43="Done",0,MAX(0,Overview!$B$3-$F43)))</f>
        <v/>
      </c>
    </row>
    <row r="44" spans="6:8" x14ac:dyDescent="0.25">
      <c r="F44" s="16"/>
      <c r="G44" s="16"/>
      <c r="H44" s="11" t="str">
        <f>IF(OR($A44="",$F44=""),"",IF($D44="Done",0,MAX(0,Overview!$B$3-$F44)))</f>
        <v/>
      </c>
    </row>
    <row r="45" spans="6:8" x14ac:dyDescent="0.25">
      <c r="F45" s="16"/>
      <c r="G45" s="16"/>
      <c r="H45" s="11" t="str">
        <f>IF(OR($A45="",$F45=""),"",IF($D45="Done",0,MAX(0,Overview!$B$3-$F45)))</f>
        <v/>
      </c>
    </row>
    <row r="46" spans="6:8" x14ac:dyDescent="0.25">
      <c r="F46" s="16"/>
      <c r="G46" s="16"/>
      <c r="H46" s="11" t="str">
        <f>IF(OR($A46="",$F46=""),"",IF($D46="Done",0,MAX(0,Overview!$B$3-$F46)))</f>
        <v/>
      </c>
    </row>
    <row r="47" spans="6:8" x14ac:dyDescent="0.25">
      <c r="F47" s="16"/>
      <c r="G47" s="16"/>
      <c r="H47" s="11" t="str">
        <f>IF(OR($A47="",$F47=""),"",IF($D47="Done",0,MAX(0,Overview!$B$3-$F47)))</f>
        <v/>
      </c>
    </row>
    <row r="48" spans="6:8" x14ac:dyDescent="0.25">
      <c r="F48" s="16"/>
      <c r="G48" s="16"/>
      <c r="H48" s="11" t="str">
        <f>IF(OR($A48="",$F48=""),"",IF($D48="Done",0,MAX(0,Overview!$B$3-$F48)))</f>
        <v/>
      </c>
    </row>
    <row r="49" spans="6:8" x14ac:dyDescent="0.25">
      <c r="F49" s="16"/>
      <c r="G49" s="16"/>
      <c r="H49" s="11" t="str">
        <f>IF(OR($A49="",$F49=""),"",IF($D49="Done",0,MAX(0,Overview!$B$3-$F49)))</f>
        <v/>
      </c>
    </row>
    <row r="50" spans="6:8" x14ac:dyDescent="0.25">
      <c r="F50" s="16"/>
      <c r="G50" s="16"/>
      <c r="H50" s="11" t="str">
        <f>IF(OR($A50="",$F50=""),"",IF($D50="Done",0,MAX(0,Overview!$B$3-$F50)))</f>
        <v/>
      </c>
    </row>
    <row r="51" spans="6:8" x14ac:dyDescent="0.25">
      <c r="F51" s="16"/>
      <c r="G51" s="16"/>
      <c r="H51" s="11" t="str">
        <f>IF(OR($A51="",$F51=""),"",IF($D51="Done",0,MAX(0,Overview!$B$3-$F51)))</f>
        <v/>
      </c>
    </row>
    <row r="52" spans="6:8" x14ac:dyDescent="0.25">
      <c r="F52" s="16"/>
      <c r="G52" s="16"/>
      <c r="H52" s="11" t="str">
        <f>IF(OR($A52="",$F52=""),"",IF($D52="Done",0,MAX(0,Overview!$B$3-$F52)))</f>
        <v/>
      </c>
    </row>
    <row r="53" spans="6:8" x14ac:dyDescent="0.25">
      <c r="F53" s="16"/>
      <c r="G53" s="16"/>
      <c r="H53" s="11" t="str">
        <f>IF(OR($A53="",$F53=""),"",IF($D53="Done",0,MAX(0,Overview!$B$3-$F53)))</f>
        <v/>
      </c>
    </row>
    <row r="54" spans="6:8" x14ac:dyDescent="0.25">
      <c r="F54" s="16"/>
      <c r="G54" s="16"/>
      <c r="H54" s="11" t="str">
        <f>IF(OR($A54="",$F54=""),"",IF($D54="Done",0,MAX(0,Overview!$B$3-$F54)))</f>
        <v/>
      </c>
    </row>
    <row r="55" spans="6:8" x14ac:dyDescent="0.25">
      <c r="F55" s="16"/>
      <c r="G55" s="16"/>
      <c r="H55" s="11" t="str">
        <f>IF(OR($A55="",$F55=""),"",IF($D55="Done",0,MAX(0,Overview!$B$3-$F55)))</f>
        <v/>
      </c>
    </row>
    <row r="56" spans="6:8" x14ac:dyDescent="0.25">
      <c r="F56" s="16"/>
      <c r="G56" s="16"/>
      <c r="H56" s="11" t="str">
        <f>IF(OR($A56="",$F56=""),"",IF($D56="Done",0,MAX(0,Overview!$B$3-$F56)))</f>
        <v/>
      </c>
    </row>
    <row r="57" spans="6:8" x14ac:dyDescent="0.25">
      <c r="F57" s="16"/>
      <c r="G57" s="16"/>
      <c r="H57" s="11" t="str">
        <f>IF(OR($A57="",$F57=""),"",IF($D57="Done",0,MAX(0,Overview!$B$3-$F57)))</f>
        <v/>
      </c>
    </row>
    <row r="58" spans="6:8" x14ac:dyDescent="0.25">
      <c r="F58" s="16"/>
      <c r="G58" s="16"/>
      <c r="H58" s="11" t="str">
        <f>IF(OR($A58="",$F58=""),"",IF($D58="Done",0,MAX(0,Overview!$B$3-$F58)))</f>
        <v/>
      </c>
    </row>
    <row r="59" spans="6:8" x14ac:dyDescent="0.25">
      <c r="F59" s="16"/>
      <c r="G59" s="16"/>
      <c r="H59" s="11" t="str">
        <f>IF(OR($A59="",$F59=""),"",IF($D59="Done",0,MAX(0,Overview!$B$3-$F59)))</f>
        <v/>
      </c>
    </row>
    <row r="60" spans="6:8" x14ac:dyDescent="0.25">
      <c r="F60" s="16"/>
      <c r="G60" s="16"/>
      <c r="H60" s="11" t="str">
        <f>IF(OR($A60="",$F60=""),"",IF($D60="Done",0,MAX(0,Overview!$B$3-$F60)))</f>
        <v/>
      </c>
    </row>
    <row r="61" spans="6:8" x14ac:dyDescent="0.25">
      <c r="F61" s="16"/>
      <c r="G61" s="16"/>
      <c r="H61" s="11" t="str">
        <f>IF(OR($A61="",$F61=""),"",IF($D61="Done",0,MAX(0,Overview!$B$3-$F61)))</f>
        <v/>
      </c>
    </row>
    <row r="62" spans="6:8" x14ac:dyDescent="0.25">
      <c r="F62" s="16"/>
      <c r="G62" s="16"/>
      <c r="H62" s="11" t="str">
        <f>IF(OR($A62="",$F62=""),"",IF($D62="Done",0,MAX(0,Overview!$B$3-$F62)))</f>
        <v/>
      </c>
    </row>
    <row r="63" spans="6:8" x14ac:dyDescent="0.25">
      <c r="F63" s="16"/>
      <c r="G63" s="16"/>
      <c r="H63" s="11" t="str">
        <f>IF(OR($A63="",$F63=""),"",IF($D63="Done",0,MAX(0,Overview!$B$3-$F63)))</f>
        <v/>
      </c>
    </row>
    <row r="64" spans="6:8" x14ac:dyDescent="0.25">
      <c r="F64" s="16"/>
      <c r="G64" s="16"/>
      <c r="H64" s="11" t="str">
        <f>IF(OR($A64="",$F64=""),"",IF($D64="Done",0,MAX(0,Overview!$B$3-$F64)))</f>
        <v/>
      </c>
    </row>
    <row r="65" spans="6:8" x14ac:dyDescent="0.25">
      <c r="F65" s="16"/>
      <c r="G65" s="16"/>
      <c r="H65" s="11" t="str">
        <f>IF(OR($A65="",$F65=""),"",IF($D65="Done",0,MAX(0,Overview!$B$3-$F65)))</f>
        <v/>
      </c>
    </row>
    <row r="66" spans="6:8" x14ac:dyDescent="0.25">
      <c r="F66" s="16"/>
      <c r="G66" s="16"/>
      <c r="H66" s="11" t="str">
        <f>IF(OR($A66="",$F66=""),"",IF($D66="Done",0,MAX(0,Overview!$B$3-$F66)))</f>
        <v/>
      </c>
    </row>
    <row r="67" spans="6:8" x14ac:dyDescent="0.25">
      <c r="F67" s="16"/>
      <c r="G67" s="16"/>
      <c r="H67" s="11" t="str">
        <f>IF(OR($A67="",$F67=""),"",IF($D67="Done",0,MAX(0,Overview!$B$3-$F67)))</f>
        <v/>
      </c>
    </row>
    <row r="68" spans="6:8" x14ac:dyDescent="0.25">
      <c r="F68" s="16"/>
      <c r="G68" s="16"/>
      <c r="H68" s="11" t="str">
        <f>IF(OR($A68="",$F68=""),"",IF($D68="Done",0,MAX(0,Overview!$B$3-$F68)))</f>
        <v/>
      </c>
    </row>
    <row r="69" spans="6:8" x14ac:dyDescent="0.25">
      <c r="F69" s="16"/>
      <c r="G69" s="16"/>
      <c r="H69" s="11" t="str">
        <f>IF(OR($A69="",$F69=""),"",IF($D69="Done",0,MAX(0,Overview!$B$3-$F69)))</f>
        <v/>
      </c>
    </row>
    <row r="70" spans="6:8" x14ac:dyDescent="0.25">
      <c r="F70" s="16"/>
      <c r="G70" s="16"/>
      <c r="H70" s="11" t="str">
        <f>IF(OR($A70="",$F70=""),"",IF($D70="Done",0,MAX(0,Overview!$B$3-$F70)))</f>
        <v/>
      </c>
    </row>
    <row r="71" spans="6:8" x14ac:dyDescent="0.25">
      <c r="F71" s="16"/>
      <c r="G71" s="16"/>
      <c r="H71" s="11" t="str">
        <f>IF(OR($A71="",$F71=""),"",IF($D71="Done",0,MAX(0,Overview!$B$3-$F71)))</f>
        <v/>
      </c>
    </row>
    <row r="72" spans="6:8" x14ac:dyDescent="0.25">
      <c r="F72" s="16"/>
      <c r="G72" s="16"/>
      <c r="H72" s="11" t="str">
        <f>IF(OR($A72="",$F72=""),"",IF($D72="Done",0,MAX(0,Overview!$B$3-$F72)))</f>
        <v/>
      </c>
    </row>
    <row r="73" spans="6:8" x14ac:dyDescent="0.25">
      <c r="F73" s="16"/>
      <c r="G73" s="16"/>
      <c r="H73" s="11" t="str">
        <f>IF(OR($A73="",$F73=""),"",IF($D73="Done",0,MAX(0,Overview!$B$3-$F73)))</f>
        <v/>
      </c>
    </row>
    <row r="74" spans="6:8" x14ac:dyDescent="0.25">
      <c r="F74" s="16"/>
      <c r="G74" s="16"/>
      <c r="H74" s="11" t="str">
        <f>IF(OR($A74="",$F74=""),"",IF($D74="Done",0,MAX(0,Overview!$B$3-$F74)))</f>
        <v/>
      </c>
    </row>
    <row r="75" spans="6:8" x14ac:dyDescent="0.25">
      <c r="F75" s="16"/>
      <c r="G75" s="16"/>
      <c r="H75" s="11" t="str">
        <f>IF(OR($A75="",$F75=""),"",IF($D75="Done",0,MAX(0,Overview!$B$3-$F75)))</f>
        <v/>
      </c>
    </row>
    <row r="76" spans="6:8" x14ac:dyDescent="0.25">
      <c r="F76" s="16"/>
      <c r="G76" s="16"/>
      <c r="H76" s="11" t="str">
        <f>IF(OR($A76="",$F76=""),"",IF($D76="Done",0,MAX(0,Overview!$B$3-$F76)))</f>
        <v/>
      </c>
    </row>
    <row r="77" spans="6:8" x14ac:dyDescent="0.25">
      <c r="F77" s="16"/>
      <c r="G77" s="16"/>
      <c r="H77" s="11" t="str">
        <f>IF(OR($A77="",$F77=""),"",IF($D77="Done",0,MAX(0,Overview!$B$3-$F77)))</f>
        <v/>
      </c>
    </row>
    <row r="78" spans="6:8" x14ac:dyDescent="0.25">
      <c r="F78" s="16"/>
      <c r="G78" s="16"/>
      <c r="H78" s="11" t="str">
        <f>IF(OR($A78="",$F78=""),"",IF($D78="Done",0,MAX(0,Overview!$B$3-$F78)))</f>
        <v/>
      </c>
    </row>
    <row r="79" spans="6:8" x14ac:dyDescent="0.25">
      <c r="F79" s="16"/>
      <c r="G79" s="16"/>
      <c r="H79" s="11" t="str">
        <f>IF(OR($A79="",$F79=""),"",IF($D79="Done",0,MAX(0,Overview!$B$3-$F79)))</f>
        <v/>
      </c>
    </row>
    <row r="80" spans="6:8" x14ac:dyDescent="0.25">
      <c r="F80" s="16"/>
      <c r="G80" s="16"/>
      <c r="H80" s="11" t="str">
        <f>IF(OR($A80="",$F80=""),"",IF($D80="Done",0,MAX(0,Overview!$B$3-$F80)))</f>
        <v/>
      </c>
    </row>
    <row r="81" spans="6:8" x14ac:dyDescent="0.25">
      <c r="F81" s="16"/>
      <c r="G81" s="16"/>
      <c r="H81" s="11" t="str">
        <f>IF(OR($A81="",$F81=""),"",IF($D81="Done",0,MAX(0,Overview!$B$3-$F81)))</f>
        <v/>
      </c>
    </row>
    <row r="82" spans="6:8" x14ac:dyDescent="0.25">
      <c r="F82" s="16"/>
      <c r="G82" s="16"/>
      <c r="H82" s="11" t="str">
        <f>IF(OR($A82="",$F82=""),"",IF($D82="Done",0,MAX(0,Overview!$B$3-$F82)))</f>
        <v/>
      </c>
    </row>
    <row r="83" spans="6:8" x14ac:dyDescent="0.25">
      <c r="F83" s="16"/>
      <c r="G83" s="16"/>
      <c r="H83" s="11" t="str">
        <f>IF(OR($A83="",$F83=""),"",IF($D83="Done",0,MAX(0,Overview!$B$3-$F83)))</f>
        <v/>
      </c>
    </row>
    <row r="84" spans="6:8" x14ac:dyDescent="0.25">
      <c r="F84" s="16"/>
      <c r="G84" s="16"/>
      <c r="H84" s="11" t="str">
        <f>IF(OR($A84="",$F84=""),"",IF($D84="Done",0,MAX(0,Overview!$B$3-$F84)))</f>
        <v/>
      </c>
    </row>
    <row r="85" spans="6:8" x14ac:dyDescent="0.25">
      <c r="F85" s="16"/>
      <c r="G85" s="16"/>
      <c r="H85" s="11" t="str">
        <f>IF(OR($A85="",$F85=""),"",IF($D85="Done",0,MAX(0,Overview!$B$3-$F85)))</f>
        <v/>
      </c>
    </row>
    <row r="86" spans="6:8" x14ac:dyDescent="0.25">
      <c r="F86" s="16"/>
      <c r="G86" s="16"/>
      <c r="H86" s="11" t="str">
        <f>IF(OR($A86="",$F86=""),"",IF($D86="Done",0,MAX(0,Overview!$B$3-$F86)))</f>
        <v/>
      </c>
    </row>
    <row r="87" spans="6:8" x14ac:dyDescent="0.25">
      <c r="F87" s="16"/>
      <c r="G87" s="16"/>
      <c r="H87" s="11" t="str">
        <f>IF(OR($A87="",$F87=""),"",IF($D87="Done",0,MAX(0,Overview!$B$3-$F87)))</f>
        <v/>
      </c>
    </row>
    <row r="88" spans="6:8" x14ac:dyDescent="0.25">
      <c r="F88" s="16"/>
      <c r="G88" s="16"/>
      <c r="H88" s="11" t="str">
        <f>IF(OR($A88="",$F88=""),"",IF($D88="Done",0,MAX(0,Overview!$B$3-$F88)))</f>
        <v/>
      </c>
    </row>
    <row r="89" spans="6:8" x14ac:dyDescent="0.25">
      <c r="F89" s="16"/>
      <c r="G89" s="16"/>
      <c r="H89" s="11" t="str">
        <f>IF(OR($A89="",$F89=""),"",IF($D89="Done",0,MAX(0,Overview!$B$3-$F89)))</f>
        <v/>
      </c>
    </row>
    <row r="90" spans="6:8" x14ac:dyDescent="0.25">
      <c r="F90" s="16"/>
      <c r="G90" s="16"/>
      <c r="H90" s="11" t="str">
        <f>IF(OR($A90="",$F90=""),"",IF($D90="Done",0,MAX(0,Overview!$B$3-$F90)))</f>
        <v/>
      </c>
    </row>
    <row r="91" spans="6:8" x14ac:dyDescent="0.25">
      <c r="F91" s="16"/>
      <c r="G91" s="16"/>
      <c r="H91" s="11" t="str">
        <f>IF(OR($A91="",$F91=""),"",IF($D91="Done",0,MAX(0,Overview!$B$3-$F91)))</f>
        <v/>
      </c>
    </row>
    <row r="92" spans="6:8" x14ac:dyDescent="0.25">
      <c r="F92" s="16"/>
      <c r="G92" s="16"/>
      <c r="H92" s="11" t="str">
        <f>IF(OR($A92="",$F92=""),"",IF($D92="Done",0,MAX(0,Overview!$B$3-$F92)))</f>
        <v/>
      </c>
    </row>
    <row r="93" spans="6:8" x14ac:dyDescent="0.25">
      <c r="F93" s="16"/>
      <c r="G93" s="16"/>
      <c r="H93" s="11" t="str">
        <f>IF(OR($A93="",$F93=""),"",IF($D93="Done",0,MAX(0,Overview!$B$3-$F93)))</f>
        <v/>
      </c>
    </row>
    <row r="94" spans="6:8" x14ac:dyDescent="0.25">
      <c r="F94" s="16"/>
      <c r="G94" s="16"/>
      <c r="H94" s="11" t="str">
        <f>IF(OR($A94="",$F94=""),"",IF($D94="Done",0,MAX(0,Overview!$B$3-$F94)))</f>
        <v/>
      </c>
    </row>
    <row r="95" spans="6:8" x14ac:dyDescent="0.25">
      <c r="F95" s="16"/>
      <c r="G95" s="16"/>
      <c r="H95" s="11" t="str">
        <f>IF(OR($A95="",$F95=""),"",IF($D95="Done",0,MAX(0,Overview!$B$3-$F95)))</f>
        <v/>
      </c>
    </row>
    <row r="96" spans="6:8" x14ac:dyDescent="0.25">
      <c r="F96" s="16"/>
      <c r="G96" s="16"/>
      <c r="H96" s="11" t="str">
        <f>IF(OR($A96="",$F96=""),"",IF($D96="Done",0,MAX(0,Overview!$B$3-$F96)))</f>
        <v/>
      </c>
    </row>
    <row r="97" spans="6:8" x14ac:dyDescent="0.25">
      <c r="F97" s="16"/>
      <c r="G97" s="16"/>
      <c r="H97" s="11" t="str">
        <f>IF(OR($A97="",$F97=""),"",IF($D97="Done",0,MAX(0,Overview!$B$3-$F97)))</f>
        <v/>
      </c>
    </row>
    <row r="98" spans="6:8" x14ac:dyDescent="0.25">
      <c r="F98" s="16"/>
      <c r="G98" s="16"/>
      <c r="H98" s="11" t="str">
        <f>IF(OR($A98="",$F98=""),"",IF($D98="Done",0,MAX(0,Overview!$B$3-$F98)))</f>
        <v/>
      </c>
    </row>
    <row r="99" spans="6:8" x14ac:dyDescent="0.25">
      <c r="F99" s="16"/>
      <c r="G99" s="16"/>
      <c r="H99" s="11" t="str">
        <f>IF(OR($A99="",$F99=""),"",IF($D99="Done",0,MAX(0,Overview!$B$3-$F99)))</f>
        <v/>
      </c>
    </row>
    <row r="100" spans="6:8" x14ac:dyDescent="0.25">
      <c r="F100" s="16"/>
      <c r="G100" s="16"/>
      <c r="H100" s="11" t="str">
        <f>IF(OR($A100="",$F100=""),"",IF($D100="Done",0,MAX(0,Overview!$B$3-$F100)))</f>
        <v/>
      </c>
    </row>
    <row r="101" spans="6:8" x14ac:dyDescent="0.25">
      <c r="F101" s="16"/>
      <c r="G101" s="16"/>
      <c r="H101" s="11" t="str">
        <f>IF(OR($A101="",$F101=""),"",IF($D101="Done",0,MAX(0,Overview!$B$3-$F101)))</f>
        <v/>
      </c>
    </row>
    <row r="102" spans="6:8" x14ac:dyDescent="0.25">
      <c r="F102" s="16"/>
      <c r="G102" s="16"/>
      <c r="H102" s="11" t="str">
        <f>IF(OR($A102="",$F102=""),"",IF($D102="Done",0,MAX(0,Overview!$B$3-$F102)))</f>
        <v/>
      </c>
    </row>
    <row r="103" spans="6:8" x14ac:dyDescent="0.25">
      <c r="F103" s="16"/>
      <c r="G103" s="16"/>
      <c r="H103" s="11" t="str">
        <f>IF(OR($A103="",$F103=""),"",IF($D103="Done",0,MAX(0,Overview!$B$3-$F103)))</f>
        <v/>
      </c>
    </row>
    <row r="104" spans="6:8" x14ac:dyDescent="0.25">
      <c r="F104" s="16"/>
      <c r="G104" s="16"/>
      <c r="H104" s="11" t="str">
        <f>IF(OR($A104="",$F104=""),"",IF($D104="Done",0,MAX(0,Overview!$B$3-$F104)))</f>
        <v/>
      </c>
    </row>
    <row r="105" spans="6:8" x14ac:dyDescent="0.25">
      <c r="F105" s="16"/>
      <c r="G105" s="16"/>
      <c r="H105" s="11" t="str">
        <f>IF(OR($A105="",$F105=""),"",IF($D105="Done",0,MAX(0,Overview!$B$3-$F105)))</f>
        <v/>
      </c>
    </row>
    <row r="106" spans="6:8" x14ac:dyDescent="0.25">
      <c r="F106" s="16"/>
      <c r="G106" s="16"/>
      <c r="H106" s="11" t="str">
        <f>IF(OR($A106="",$F106=""),"",IF($D106="Done",0,MAX(0,Overview!$B$3-$F106)))</f>
        <v/>
      </c>
    </row>
    <row r="107" spans="6:8" x14ac:dyDescent="0.25">
      <c r="F107" s="16"/>
      <c r="G107" s="16"/>
      <c r="H107" s="11" t="str">
        <f>IF(OR($A107="",$F107=""),"",IF($D107="Done",0,MAX(0,Overview!$B$3-$F107)))</f>
        <v/>
      </c>
    </row>
    <row r="108" spans="6:8" x14ac:dyDescent="0.25">
      <c r="F108" s="16"/>
      <c r="G108" s="16"/>
      <c r="H108" s="11" t="str">
        <f>IF(OR($A108="",$F108=""),"",IF($D108="Done",0,MAX(0,Overview!$B$3-$F108)))</f>
        <v/>
      </c>
    </row>
    <row r="109" spans="6:8" x14ac:dyDescent="0.25">
      <c r="F109" s="16"/>
      <c r="G109" s="16"/>
      <c r="H109" s="11" t="str">
        <f>IF(OR($A109="",$F109=""),"",IF($D109="Done",0,MAX(0,Overview!$B$3-$F109)))</f>
        <v/>
      </c>
    </row>
    <row r="110" spans="6:8" x14ac:dyDescent="0.25">
      <c r="F110" s="16"/>
      <c r="G110" s="16"/>
      <c r="H110" s="11" t="str">
        <f>IF(OR($A110="",$F110=""),"",IF($D110="Done",0,MAX(0,Overview!$B$3-$F110)))</f>
        <v/>
      </c>
    </row>
    <row r="111" spans="6:8" x14ac:dyDescent="0.25">
      <c r="F111" s="16"/>
      <c r="G111" s="16"/>
      <c r="H111" s="11" t="str">
        <f>IF(OR($A111="",$F111=""),"",IF($D111="Done",0,MAX(0,Overview!$B$3-$F111)))</f>
        <v/>
      </c>
    </row>
    <row r="112" spans="6:8" x14ac:dyDescent="0.25">
      <c r="F112" s="16"/>
      <c r="G112" s="16"/>
      <c r="H112" s="11" t="str">
        <f>IF(OR($A112="",$F112=""),"",IF($D112="Done",0,MAX(0,Overview!$B$3-$F112)))</f>
        <v/>
      </c>
    </row>
    <row r="113" spans="6:8" x14ac:dyDescent="0.25">
      <c r="F113" s="16"/>
      <c r="G113" s="16"/>
      <c r="H113" s="11" t="str">
        <f>IF(OR($A113="",$F113=""),"",IF($D113="Done",0,MAX(0,Overview!$B$3-$F113)))</f>
        <v/>
      </c>
    </row>
    <row r="114" spans="6:8" x14ac:dyDescent="0.25">
      <c r="F114" s="16"/>
      <c r="G114" s="16"/>
      <c r="H114" s="11" t="str">
        <f>IF(OR($A114="",$F114=""),"",IF($D114="Done",0,MAX(0,Overview!$B$3-$F114)))</f>
        <v/>
      </c>
    </row>
    <row r="115" spans="6:8" x14ac:dyDescent="0.25">
      <c r="F115" s="16"/>
      <c r="G115" s="16"/>
      <c r="H115" s="11" t="str">
        <f>IF(OR($A115="",$F115=""),"",IF($D115="Done",0,MAX(0,Overview!$B$3-$F115)))</f>
        <v/>
      </c>
    </row>
    <row r="116" spans="6:8" x14ac:dyDescent="0.25">
      <c r="F116" s="16"/>
      <c r="G116" s="16"/>
      <c r="H116" s="11" t="str">
        <f>IF(OR($A116="",$F116=""),"",IF($D116="Done",0,MAX(0,Overview!$B$3-$F116)))</f>
        <v/>
      </c>
    </row>
    <row r="117" spans="6:8" x14ac:dyDescent="0.25">
      <c r="F117" s="16"/>
      <c r="G117" s="16"/>
      <c r="H117" s="11" t="str">
        <f>IF(OR($A117="",$F117=""),"",IF($D117="Done",0,MAX(0,Overview!$B$3-$F117)))</f>
        <v/>
      </c>
    </row>
    <row r="118" spans="6:8" x14ac:dyDescent="0.25">
      <c r="F118" s="16"/>
      <c r="G118" s="16"/>
      <c r="H118" s="11" t="str">
        <f>IF(OR($A118="",$F118=""),"",IF($D118="Done",0,MAX(0,Overview!$B$3-$F118)))</f>
        <v/>
      </c>
    </row>
    <row r="119" spans="6:8" x14ac:dyDescent="0.25">
      <c r="F119" s="16"/>
      <c r="G119" s="16"/>
      <c r="H119" s="11" t="str">
        <f>IF(OR($A119="",$F119=""),"",IF($D119="Done",0,MAX(0,Overview!$B$3-$F119)))</f>
        <v/>
      </c>
    </row>
    <row r="120" spans="6:8" x14ac:dyDescent="0.25">
      <c r="F120" s="16"/>
      <c r="G120" s="16"/>
      <c r="H120" s="11" t="str">
        <f>IF(OR($A120="",$F120=""),"",IF($D120="Done",0,MAX(0,Overview!$B$3-$F120)))</f>
        <v/>
      </c>
    </row>
    <row r="121" spans="6:8" x14ac:dyDescent="0.25">
      <c r="F121" s="16"/>
      <c r="G121" s="16"/>
      <c r="H121" s="11" t="str">
        <f>IF(OR($A121="",$F121=""),"",IF($D121="Done",0,MAX(0,Overview!$B$3-$F121)))</f>
        <v/>
      </c>
    </row>
    <row r="122" spans="6:8" x14ac:dyDescent="0.25">
      <c r="F122" s="16"/>
      <c r="G122" s="16"/>
      <c r="H122" s="11" t="str">
        <f>IF(OR($A122="",$F122=""),"",IF($D122="Done",0,MAX(0,Overview!$B$3-$F122)))</f>
        <v/>
      </c>
    </row>
    <row r="123" spans="6:8" x14ac:dyDescent="0.25">
      <c r="F123" s="16"/>
      <c r="G123" s="16"/>
      <c r="H123" s="11" t="str">
        <f>IF(OR($A123="",$F123=""),"",IF($D123="Done",0,MAX(0,Overview!$B$3-$F123)))</f>
        <v/>
      </c>
    </row>
    <row r="124" spans="6:8" x14ac:dyDescent="0.25">
      <c r="F124" s="16"/>
      <c r="G124" s="16"/>
      <c r="H124" s="11" t="str">
        <f>IF(OR($A124="",$F124=""),"",IF($D124="Done",0,MAX(0,Overview!$B$3-$F124)))</f>
        <v/>
      </c>
    </row>
    <row r="125" spans="6:8" x14ac:dyDescent="0.25">
      <c r="F125" s="16"/>
      <c r="G125" s="16"/>
      <c r="H125" s="11" t="str">
        <f>IF(OR($A125="",$F125=""),"",IF($D125="Done",0,MAX(0,Overview!$B$3-$F125)))</f>
        <v/>
      </c>
    </row>
    <row r="126" spans="6:8" x14ac:dyDescent="0.25">
      <c r="F126" s="16"/>
      <c r="G126" s="16"/>
      <c r="H126" s="11" t="str">
        <f>IF(OR($A126="",$F126=""),"",IF($D126="Done",0,MAX(0,Overview!$B$3-$F126)))</f>
        <v/>
      </c>
    </row>
    <row r="127" spans="6:8" x14ac:dyDescent="0.25">
      <c r="F127" s="16"/>
      <c r="G127" s="16"/>
      <c r="H127" s="11" t="str">
        <f>IF(OR($A127="",$F127=""),"",IF($D127="Done",0,MAX(0,Overview!$B$3-$F127)))</f>
        <v/>
      </c>
    </row>
    <row r="128" spans="6:8" x14ac:dyDescent="0.25">
      <c r="F128" s="16"/>
      <c r="G128" s="16"/>
      <c r="H128" s="11" t="str">
        <f>IF(OR($A128="",$F128=""),"",IF($D128="Done",0,MAX(0,Overview!$B$3-$F128)))</f>
        <v/>
      </c>
    </row>
    <row r="129" spans="6:8" x14ac:dyDescent="0.25">
      <c r="F129" s="16"/>
      <c r="G129" s="16"/>
      <c r="H129" s="11" t="str">
        <f>IF(OR($A129="",$F129=""),"",IF($D129="Done",0,MAX(0,Overview!$B$3-$F129)))</f>
        <v/>
      </c>
    </row>
    <row r="130" spans="6:8" x14ac:dyDescent="0.25">
      <c r="F130" s="16"/>
      <c r="G130" s="16"/>
      <c r="H130" s="11" t="str">
        <f>IF(OR($A130="",$F130=""),"",IF($D130="Done",0,MAX(0,Overview!$B$3-$F130)))</f>
        <v/>
      </c>
    </row>
    <row r="131" spans="6:8" x14ac:dyDescent="0.25">
      <c r="F131" s="16"/>
      <c r="G131" s="16"/>
      <c r="H131" s="11" t="str">
        <f>IF(OR($A131="",$F131=""),"",IF($D131="Done",0,MAX(0,Overview!$B$3-$F131)))</f>
        <v/>
      </c>
    </row>
    <row r="132" spans="6:8" x14ac:dyDescent="0.25">
      <c r="F132" s="16"/>
      <c r="G132" s="16"/>
      <c r="H132" s="11" t="str">
        <f>IF(OR($A132="",$F132=""),"",IF($D132="Done",0,MAX(0,Overview!$B$3-$F132)))</f>
        <v/>
      </c>
    </row>
    <row r="133" spans="6:8" x14ac:dyDescent="0.25">
      <c r="F133" s="16"/>
      <c r="G133" s="16"/>
      <c r="H133" s="11" t="str">
        <f>IF(OR($A133="",$F133=""),"",IF($D133="Done",0,MAX(0,Overview!$B$3-$F133)))</f>
        <v/>
      </c>
    </row>
    <row r="134" spans="6:8" x14ac:dyDescent="0.25">
      <c r="F134" s="16"/>
      <c r="G134" s="16"/>
      <c r="H134" s="11" t="str">
        <f>IF(OR($A134="",$F134=""),"",IF($D134="Done",0,MAX(0,Overview!$B$3-$F134)))</f>
        <v/>
      </c>
    </row>
    <row r="135" spans="6:8" x14ac:dyDescent="0.25">
      <c r="F135" s="16"/>
      <c r="G135" s="16"/>
      <c r="H135" s="11" t="str">
        <f>IF(OR($A135="",$F135=""),"",IF($D135="Done",0,MAX(0,Overview!$B$3-$F135)))</f>
        <v/>
      </c>
    </row>
    <row r="136" spans="6:8" x14ac:dyDescent="0.25">
      <c r="F136" s="16"/>
      <c r="G136" s="16"/>
      <c r="H136" s="11" t="str">
        <f>IF(OR($A136="",$F136=""),"",IF($D136="Done",0,MAX(0,Overview!$B$3-$F136)))</f>
        <v/>
      </c>
    </row>
    <row r="137" spans="6:8" x14ac:dyDescent="0.25">
      <c r="F137" s="16"/>
      <c r="G137" s="16"/>
      <c r="H137" s="11" t="str">
        <f>IF(OR($A137="",$F137=""),"",IF($D137="Done",0,MAX(0,Overview!$B$3-$F137)))</f>
        <v/>
      </c>
    </row>
    <row r="138" spans="6:8" x14ac:dyDescent="0.25">
      <c r="F138" s="16"/>
      <c r="G138" s="16"/>
      <c r="H138" s="11" t="str">
        <f>IF(OR($A138="",$F138=""),"",IF($D138="Done",0,MAX(0,Overview!$B$3-$F138)))</f>
        <v/>
      </c>
    </row>
    <row r="139" spans="6:8" x14ac:dyDescent="0.25">
      <c r="F139" s="16"/>
      <c r="G139" s="16"/>
      <c r="H139" s="11" t="str">
        <f>IF(OR($A139="",$F139=""),"",IF($D139="Done",0,MAX(0,Overview!$B$3-$F139)))</f>
        <v/>
      </c>
    </row>
    <row r="140" spans="6:8" x14ac:dyDescent="0.25">
      <c r="F140" s="16"/>
      <c r="G140" s="16"/>
      <c r="H140" s="11" t="str">
        <f>IF(OR($A140="",$F140=""),"",IF($D140="Done",0,MAX(0,Overview!$B$3-$F140)))</f>
        <v/>
      </c>
    </row>
    <row r="141" spans="6:8" x14ac:dyDescent="0.25">
      <c r="F141" s="16"/>
      <c r="G141" s="16"/>
      <c r="H141" s="11" t="str">
        <f>IF(OR($A141="",$F141=""),"",IF($D141="Done",0,MAX(0,Overview!$B$3-$F141)))</f>
        <v/>
      </c>
    </row>
    <row r="142" spans="6:8" x14ac:dyDescent="0.25">
      <c r="F142" s="16"/>
      <c r="G142" s="16"/>
      <c r="H142" s="11" t="str">
        <f>IF(OR($A142="",$F142=""),"",IF($D142="Done",0,MAX(0,Overview!$B$3-$F142)))</f>
        <v/>
      </c>
    </row>
    <row r="143" spans="6:8" x14ac:dyDescent="0.25">
      <c r="F143" s="16"/>
      <c r="G143" s="16"/>
      <c r="H143" s="11" t="str">
        <f>IF(OR($A143="",$F143=""),"",IF($D143="Done",0,MAX(0,Overview!$B$3-$F143)))</f>
        <v/>
      </c>
    </row>
    <row r="144" spans="6:8" x14ac:dyDescent="0.25">
      <c r="F144" s="16"/>
      <c r="G144" s="16"/>
      <c r="H144" s="11" t="str">
        <f>IF(OR($A144="",$F144=""),"",IF($D144="Done",0,MAX(0,Overview!$B$3-$F144)))</f>
        <v/>
      </c>
    </row>
    <row r="145" spans="6:8" x14ac:dyDescent="0.25">
      <c r="F145" s="16"/>
      <c r="G145" s="16"/>
      <c r="H145" s="11" t="str">
        <f>IF(OR($A145="",$F145=""),"",IF($D145="Done",0,MAX(0,Overview!$B$3-$F145)))</f>
        <v/>
      </c>
    </row>
    <row r="146" spans="6:8" x14ac:dyDescent="0.25">
      <c r="F146" s="16"/>
      <c r="G146" s="16"/>
      <c r="H146" s="11" t="str">
        <f>IF(OR($A146="",$F146=""),"",IF($D146="Done",0,MAX(0,Overview!$B$3-$F146)))</f>
        <v/>
      </c>
    </row>
    <row r="147" spans="6:8" x14ac:dyDescent="0.25">
      <c r="F147" s="16"/>
      <c r="G147" s="16"/>
      <c r="H147" s="11" t="str">
        <f>IF(OR($A147="",$F147=""),"",IF($D147="Done",0,MAX(0,Overview!$B$3-$F147)))</f>
        <v/>
      </c>
    </row>
    <row r="148" spans="6:8" x14ac:dyDescent="0.25">
      <c r="F148" s="16"/>
      <c r="G148" s="16"/>
      <c r="H148" s="11" t="str">
        <f>IF(OR($A148="",$F148=""),"",IF($D148="Done",0,MAX(0,Overview!$B$3-$F148)))</f>
        <v/>
      </c>
    </row>
    <row r="149" spans="6:8" x14ac:dyDescent="0.25">
      <c r="F149" s="16"/>
      <c r="G149" s="16"/>
      <c r="H149" s="11" t="str">
        <f>IF(OR($A149="",$F149=""),"",IF($D149="Done",0,MAX(0,Overview!$B$3-$F149)))</f>
        <v/>
      </c>
    </row>
    <row r="150" spans="6:8" x14ac:dyDescent="0.25">
      <c r="F150" s="16"/>
      <c r="G150" s="16"/>
      <c r="H150" s="11" t="str">
        <f>IF(OR($A150="",$F150=""),"",IF($D150="Done",0,MAX(0,Overview!$B$3-$F150)))</f>
        <v/>
      </c>
    </row>
    <row r="151" spans="6:8" x14ac:dyDescent="0.25">
      <c r="F151" s="16"/>
      <c r="G151" s="16"/>
      <c r="H151" s="11" t="str">
        <f>IF(OR($A151="",$F151=""),"",IF($D151="Done",0,MAX(0,Overview!$B$3-$F151)))</f>
        <v/>
      </c>
    </row>
    <row r="152" spans="6:8" x14ac:dyDescent="0.25">
      <c r="F152" s="16"/>
      <c r="G152" s="16"/>
      <c r="H152" s="11" t="str">
        <f>IF(OR($A152="",$F152=""),"",IF($D152="Done",0,MAX(0,Overview!$B$3-$F152)))</f>
        <v/>
      </c>
    </row>
    <row r="153" spans="6:8" x14ac:dyDescent="0.25">
      <c r="F153" s="16"/>
      <c r="G153" s="16"/>
      <c r="H153" s="11" t="str">
        <f>IF(OR($A153="",$F153=""),"",IF($D153="Done",0,MAX(0,Overview!$B$3-$F153)))</f>
        <v/>
      </c>
    </row>
    <row r="154" spans="6:8" x14ac:dyDescent="0.25">
      <c r="F154" s="16"/>
      <c r="G154" s="16"/>
      <c r="H154" s="11" t="str">
        <f>IF(OR($A154="",$F154=""),"",IF($D154="Done",0,MAX(0,Overview!$B$3-$F154)))</f>
        <v/>
      </c>
    </row>
    <row r="155" spans="6:8" x14ac:dyDescent="0.25">
      <c r="F155" s="16"/>
      <c r="G155" s="16"/>
      <c r="H155" s="11" t="str">
        <f>IF(OR($A155="",$F155=""),"",IF($D155="Done",0,MAX(0,Overview!$B$3-$F155)))</f>
        <v/>
      </c>
    </row>
    <row r="156" spans="6:8" x14ac:dyDescent="0.25">
      <c r="F156" s="16"/>
      <c r="G156" s="16"/>
      <c r="H156" s="11" t="str">
        <f>IF(OR($A156="",$F156=""),"",IF($D156="Done",0,MAX(0,Overview!$B$3-$F156)))</f>
        <v/>
      </c>
    </row>
    <row r="157" spans="6:8" x14ac:dyDescent="0.25">
      <c r="F157" s="16"/>
      <c r="G157" s="16"/>
      <c r="H157" s="11" t="str">
        <f>IF(OR($A157="",$F157=""),"",IF($D157="Done",0,MAX(0,Overview!$B$3-$F157)))</f>
        <v/>
      </c>
    </row>
    <row r="158" spans="6:8" x14ac:dyDescent="0.25">
      <c r="F158" s="16"/>
      <c r="G158" s="16"/>
      <c r="H158" s="11" t="str">
        <f>IF(OR($A158="",$F158=""),"",IF($D158="Done",0,MAX(0,Overview!$B$3-$F158)))</f>
        <v/>
      </c>
    </row>
    <row r="159" spans="6:8" x14ac:dyDescent="0.25">
      <c r="F159" s="16"/>
      <c r="G159" s="16"/>
      <c r="H159" s="11" t="str">
        <f>IF(OR($A159="",$F159=""),"",IF($D159="Done",0,MAX(0,Overview!$B$3-$F159)))</f>
        <v/>
      </c>
    </row>
    <row r="160" spans="6:8" x14ac:dyDescent="0.25">
      <c r="F160" s="16"/>
      <c r="G160" s="16"/>
      <c r="H160" s="11" t="str">
        <f>IF(OR($A160="",$F160=""),"",IF($D160="Done",0,MAX(0,Overview!$B$3-$F160)))</f>
        <v/>
      </c>
    </row>
    <row r="161" spans="6:8" x14ac:dyDescent="0.25">
      <c r="F161" s="16"/>
      <c r="G161" s="16"/>
      <c r="H161" s="11" t="str">
        <f>IF(OR($A161="",$F161=""),"",IF($D161="Done",0,MAX(0,Overview!$B$3-$F161)))</f>
        <v/>
      </c>
    </row>
    <row r="162" spans="6:8" x14ac:dyDescent="0.25">
      <c r="F162" s="16"/>
      <c r="G162" s="16"/>
      <c r="H162" s="11" t="str">
        <f>IF(OR($A162="",$F162=""),"",IF($D162="Done",0,MAX(0,Overview!$B$3-$F162)))</f>
        <v/>
      </c>
    </row>
    <row r="163" spans="6:8" x14ac:dyDescent="0.25">
      <c r="F163" s="16"/>
      <c r="G163" s="16"/>
      <c r="H163" s="11" t="str">
        <f>IF(OR($A163="",$F163=""),"",IF($D163="Done",0,MAX(0,Overview!$B$3-$F163)))</f>
        <v/>
      </c>
    </row>
    <row r="164" spans="6:8" x14ac:dyDescent="0.25">
      <c r="F164" s="16"/>
      <c r="G164" s="16"/>
      <c r="H164" s="11" t="str">
        <f>IF(OR($A164="",$F164=""),"",IF($D164="Done",0,MAX(0,Overview!$B$3-$F164)))</f>
        <v/>
      </c>
    </row>
    <row r="165" spans="6:8" x14ac:dyDescent="0.25">
      <c r="F165" s="16"/>
      <c r="G165" s="16"/>
      <c r="H165" s="11" t="str">
        <f>IF(OR($A165="",$F165=""),"",IF($D165="Done",0,MAX(0,Overview!$B$3-$F165)))</f>
        <v/>
      </c>
    </row>
    <row r="166" spans="6:8" x14ac:dyDescent="0.25">
      <c r="F166" s="16"/>
      <c r="G166" s="16"/>
      <c r="H166" s="11" t="str">
        <f>IF(OR($A166="",$F166=""),"",IF($D166="Done",0,MAX(0,Overview!$B$3-$F166)))</f>
        <v/>
      </c>
    </row>
    <row r="167" spans="6:8" x14ac:dyDescent="0.25">
      <c r="F167" s="16"/>
      <c r="G167" s="16"/>
      <c r="H167" s="11" t="str">
        <f>IF(OR($A167="",$F167=""),"",IF($D167="Done",0,MAX(0,Overview!$B$3-$F167)))</f>
        <v/>
      </c>
    </row>
    <row r="168" spans="6:8" x14ac:dyDescent="0.25">
      <c r="F168" s="16"/>
      <c r="G168" s="16"/>
      <c r="H168" s="11" t="str">
        <f>IF(OR($A168="",$F168=""),"",IF($D168="Done",0,MAX(0,Overview!$B$3-$F168)))</f>
        <v/>
      </c>
    </row>
    <row r="169" spans="6:8" x14ac:dyDescent="0.25">
      <c r="F169" s="16"/>
      <c r="G169" s="16"/>
      <c r="H169" s="11" t="str">
        <f>IF(OR($A169="",$F169=""),"",IF($D169="Done",0,MAX(0,Overview!$B$3-$F169)))</f>
        <v/>
      </c>
    </row>
    <row r="170" spans="6:8" x14ac:dyDescent="0.25">
      <c r="F170" s="16"/>
      <c r="G170" s="16"/>
      <c r="H170" s="11" t="str">
        <f>IF(OR($A170="",$F170=""),"",IF($D170="Done",0,MAX(0,Overview!$B$3-$F170)))</f>
        <v/>
      </c>
    </row>
    <row r="171" spans="6:8" x14ac:dyDescent="0.25">
      <c r="F171" s="16"/>
      <c r="G171" s="16"/>
      <c r="H171" s="11" t="str">
        <f>IF(OR($A171="",$F171=""),"",IF($D171="Done",0,MAX(0,Overview!$B$3-$F171)))</f>
        <v/>
      </c>
    </row>
    <row r="172" spans="6:8" x14ac:dyDescent="0.25">
      <c r="F172" s="16"/>
      <c r="G172" s="16"/>
      <c r="H172" s="11" t="str">
        <f>IF(OR($A172="",$F172=""),"",IF($D172="Done",0,MAX(0,Overview!$B$3-$F172)))</f>
        <v/>
      </c>
    </row>
    <row r="173" spans="6:8" x14ac:dyDescent="0.25">
      <c r="F173" s="16"/>
      <c r="G173" s="16"/>
      <c r="H173" s="11" t="str">
        <f>IF(OR($A173="",$F173=""),"",IF($D173="Done",0,MAX(0,Overview!$B$3-$F173)))</f>
        <v/>
      </c>
    </row>
    <row r="174" spans="6:8" x14ac:dyDescent="0.25">
      <c r="F174" s="16"/>
      <c r="G174" s="16"/>
      <c r="H174" s="11" t="str">
        <f>IF(OR($A174="",$F174=""),"",IF($D174="Done",0,MAX(0,Overview!$B$3-$F174)))</f>
        <v/>
      </c>
    </row>
    <row r="175" spans="6:8" x14ac:dyDescent="0.25">
      <c r="F175" s="16"/>
      <c r="G175" s="16"/>
      <c r="H175" s="11" t="str">
        <f>IF(OR($A175="",$F175=""),"",IF($D175="Done",0,MAX(0,Overview!$B$3-$F175)))</f>
        <v/>
      </c>
    </row>
    <row r="176" spans="6:8" x14ac:dyDescent="0.25">
      <c r="F176" s="16"/>
      <c r="G176" s="16"/>
      <c r="H176" s="11" t="str">
        <f>IF(OR($A176="",$F176=""),"",IF($D176="Done",0,MAX(0,Overview!$B$3-$F176)))</f>
        <v/>
      </c>
    </row>
    <row r="177" spans="6:8" x14ac:dyDescent="0.25">
      <c r="F177" s="16"/>
      <c r="G177" s="16"/>
      <c r="H177" s="11" t="str">
        <f>IF(OR($A177="",$F177=""),"",IF($D177="Done",0,MAX(0,Overview!$B$3-$F177)))</f>
        <v/>
      </c>
    </row>
    <row r="178" spans="6:8" x14ac:dyDescent="0.25">
      <c r="F178" s="16"/>
      <c r="G178" s="16"/>
      <c r="H178" s="11" t="str">
        <f>IF(OR($A178="",$F178=""),"",IF($D178="Done",0,MAX(0,Overview!$B$3-$F178)))</f>
        <v/>
      </c>
    </row>
    <row r="179" spans="6:8" x14ac:dyDescent="0.25">
      <c r="F179" s="16"/>
      <c r="G179" s="16"/>
      <c r="H179" s="11" t="str">
        <f>IF(OR($A179="",$F179=""),"",IF($D179="Done",0,MAX(0,Overview!$B$3-$F179)))</f>
        <v/>
      </c>
    </row>
    <row r="180" spans="6:8" x14ac:dyDescent="0.25">
      <c r="F180" s="16"/>
      <c r="G180" s="16"/>
      <c r="H180" s="11" t="str">
        <f>IF(OR($A180="",$F180=""),"",IF($D180="Done",0,MAX(0,Overview!$B$3-$F180)))</f>
        <v/>
      </c>
    </row>
    <row r="181" spans="6:8" x14ac:dyDescent="0.25">
      <c r="F181" s="16"/>
      <c r="G181" s="16"/>
      <c r="H181" s="11" t="str">
        <f>IF(OR($A181="",$F181=""),"",IF($D181="Done",0,MAX(0,Overview!$B$3-$F181)))</f>
        <v/>
      </c>
    </row>
    <row r="182" spans="6:8" x14ac:dyDescent="0.25">
      <c r="F182" s="16"/>
      <c r="G182" s="16"/>
      <c r="H182" s="11" t="str">
        <f>IF(OR($A182="",$F182=""),"",IF($D182="Done",0,MAX(0,Overview!$B$3-$F182)))</f>
        <v/>
      </c>
    </row>
    <row r="183" spans="6:8" x14ac:dyDescent="0.25">
      <c r="F183" s="16"/>
      <c r="G183" s="16"/>
      <c r="H183" s="11" t="str">
        <f>IF(OR($A183="",$F183=""),"",IF($D183="Done",0,MAX(0,Overview!$B$3-$F183)))</f>
        <v/>
      </c>
    </row>
    <row r="184" spans="6:8" x14ac:dyDescent="0.25">
      <c r="F184" s="16"/>
      <c r="G184" s="16"/>
      <c r="H184" s="11" t="str">
        <f>IF(OR($A184="",$F184=""),"",IF($D184="Done",0,MAX(0,Overview!$B$3-$F184)))</f>
        <v/>
      </c>
    </row>
    <row r="185" spans="6:8" x14ac:dyDescent="0.25">
      <c r="F185" s="16"/>
      <c r="G185" s="16"/>
      <c r="H185" s="11" t="str">
        <f>IF(OR($A185="",$F185=""),"",IF($D185="Done",0,MAX(0,Overview!$B$3-$F185)))</f>
        <v/>
      </c>
    </row>
    <row r="186" spans="6:8" x14ac:dyDescent="0.25">
      <c r="F186" s="16"/>
      <c r="G186" s="16"/>
      <c r="H186" s="11" t="str">
        <f>IF(OR($A186="",$F186=""),"",IF($D186="Done",0,MAX(0,Overview!$B$3-$F186)))</f>
        <v/>
      </c>
    </row>
    <row r="187" spans="6:8" x14ac:dyDescent="0.25">
      <c r="F187" s="16"/>
      <c r="G187" s="16"/>
      <c r="H187" s="11" t="str">
        <f>IF(OR($A187="",$F187=""),"",IF($D187="Done",0,MAX(0,Overview!$B$3-$F187)))</f>
        <v/>
      </c>
    </row>
    <row r="188" spans="6:8" x14ac:dyDescent="0.25">
      <c r="F188" s="16"/>
      <c r="G188" s="16"/>
      <c r="H188" s="11" t="str">
        <f>IF(OR($A188="",$F188=""),"",IF($D188="Done",0,MAX(0,Overview!$B$3-$F188)))</f>
        <v/>
      </c>
    </row>
    <row r="189" spans="6:8" x14ac:dyDescent="0.25">
      <c r="F189" s="16"/>
      <c r="G189" s="16"/>
      <c r="H189" s="11" t="str">
        <f>IF(OR($A189="",$F189=""),"",IF($D189="Done",0,MAX(0,Overview!$B$3-$F189)))</f>
        <v/>
      </c>
    </row>
    <row r="190" spans="6:8" x14ac:dyDescent="0.25">
      <c r="F190" s="16"/>
      <c r="G190" s="16"/>
      <c r="H190" s="11" t="str">
        <f>IF(OR($A190="",$F190=""),"",IF($D190="Done",0,MAX(0,Overview!$B$3-$F190)))</f>
        <v/>
      </c>
    </row>
    <row r="191" spans="6:8" x14ac:dyDescent="0.25">
      <c r="F191" s="16"/>
      <c r="G191" s="16"/>
      <c r="H191" s="11" t="str">
        <f>IF(OR($A191="",$F191=""),"",IF($D191="Done",0,MAX(0,Overview!$B$3-$F191)))</f>
        <v/>
      </c>
    </row>
    <row r="192" spans="6:8" x14ac:dyDescent="0.25">
      <c r="F192" s="16"/>
      <c r="G192" s="16"/>
      <c r="H192" s="11" t="str">
        <f>IF(OR($A192="",$F192=""),"",IF($D192="Done",0,MAX(0,Overview!$B$3-$F192)))</f>
        <v/>
      </c>
    </row>
    <row r="193" spans="6:8" x14ac:dyDescent="0.25">
      <c r="F193" s="16"/>
      <c r="G193" s="16"/>
      <c r="H193" s="11" t="str">
        <f>IF(OR($A193="",$F193=""),"",IF($D193="Done",0,MAX(0,Overview!$B$3-$F193)))</f>
        <v/>
      </c>
    </row>
    <row r="194" spans="6:8" x14ac:dyDescent="0.25">
      <c r="F194" s="16"/>
      <c r="G194" s="16"/>
      <c r="H194" s="11" t="str">
        <f>IF(OR($A194="",$F194=""),"",IF($D194="Done",0,MAX(0,Overview!$B$3-$F194)))</f>
        <v/>
      </c>
    </row>
    <row r="195" spans="6:8" x14ac:dyDescent="0.25">
      <c r="F195" s="16"/>
      <c r="G195" s="16"/>
      <c r="H195" s="11" t="str">
        <f>IF(OR($A195="",$F195=""),"",IF($D195="Done",0,MAX(0,Overview!$B$3-$F195)))</f>
        <v/>
      </c>
    </row>
    <row r="196" spans="6:8" x14ac:dyDescent="0.25">
      <c r="F196" s="16"/>
      <c r="G196" s="16"/>
      <c r="H196" s="11" t="str">
        <f>IF(OR($A196="",$F196=""),"",IF($D196="Done",0,MAX(0,Overview!$B$3-$F196)))</f>
        <v/>
      </c>
    </row>
    <row r="197" spans="6:8" x14ac:dyDescent="0.25">
      <c r="F197" s="16"/>
      <c r="G197" s="16"/>
      <c r="H197" s="11" t="str">
        <f>IF(OR($A197="",$F197=""),"",IF($D197="Done",0,MAX(0,Overview!$B$3-$F197)))</f>
        <v/>
      </c>
    </row>
    <row r="198" spans="6:8" x14ac:dyDescent="0.25">
      <c r="F198" s="16"/>
      <c r="G198" s="16"/>
      <c r="H198" s="11" t="str">
        <f>IF(OR($A198="",$F198=""),"",IF($D198="Done",0,MAX(0,Overview!$B$3-$F198)))</f>
        <v/>
      </c>
    </row>
    <row r="199" spans="6:8" x14ac:dyDescent="0.25">
      <c r="F199" s="16"/>
      <c r="G199" s="16"/>
      <c r="H199" s="11" t="str">
        <f>IF(OR($A199="",$F199=""),"",IF($D199="Done",0,MAX(0,Overview!$B$3-$F199)))</f>
        <v/>
      </c>
    </row>
    <row r="200" spans="6:8" x14ac:dyDescent="0.25">
      <c r="F200" s="16"/>
      <c r="G200" s="16"/>
      <c r="H200" s="11" t="str">
        <f>IF(OR($A200="",$F200=""),"",IF($D200="Done",0,MAX(0,Overview!$B$3-$F200)))</f>
        <v/>
      </c>
    </row>
    <row r="201" spans="6:8" x14ac:dyDescent="0.25">
      <c r="F201" s="16"/>
      <c r="G201" s="16"/>
      <c r="H201" s="11" t="str">
        <f>IF(OR($A201="",$F201=""),"",IF($D201="Done",0,MAX(0,Overview!$B$3-$F201)))</f>
        <v/>
      </c>
    </row>
    <row r="202" spans="6:8" x14ac:dyDescent="0.25">
      <c r="F202" s="16"/>
      <c r="G202" s="16"/>
      <c r="H202" s="11" t="str">
        <f>IF(OR($A202="",$F202=""),"",IF($D202="Done",0,MAX(0,Overview!$B$3-$F202)))</f>
        <v/>
      </c>
    </row>
    <row r="203" spans="6:8" x14ac:dyDescent="0.25">
      <c r="F203" s="16"/>
      <c r="G203" s="16"/>
      <c r="H203" s="11" t="str">
        <f>IF(OR($A203="",$F203=""),"",IF($D203="Done",0,MAX(0,Overview!$B$3-$F203)))</f>
        <v/>
      </c>
    </row>
    <row r="204" spans="6:8" x14ac:dyDescent="0.25">
      <c r="F204" s="16"/>
      <c r="G204" s="16"/>
      <c r="H204" s="11" t="str">
        <f>IF(OR($A204="",$F204=""),"",IF($D204="Done",0,MAX(0,Overview!$B$3-$F204)))</f>
        <v/>
      </c>
    </row>
    <row r="205" spans="6:8" x14ac:dyDescent="0.25">
      <c r="F205" s="16"/>
      <c r="G205" s="16"/>
      <c r="H205" s="11" t="str">
        <f>IF(OR($A205="",$F205=""),"",IF($D205="Done",0,MAX(0,Overview!$B$3-$F205)))</f>
        <v/>
      </c>
    </row>
    <row r="206" spans="6:8" x14ac:dyDescent="0.25">
      <c r="F206" s="16"/>
      <c r="G206" s="16"/>
      <c r="H206" s="11" t="str">
        <f>IF(OR($A206="",$F206=""),"",IF($D206="Done",0,MAX(0,Overview!$B$3-$F206)))</f>
        <v/>
      </c>
    </row>
    <row r="207" spans="6:8" x14ac:dyDescent="0.25">
      <c r="F207" s="16"/>
      <c r="G207" s="16"/>
      <c r="H207" s="11" t="str">
        <f>IF(OR($A207="",$F207=""),"",IF($D207="Done",0,MAX(0,Overview!$B$3-$F207)))</f>
        <v/>
      </c>
    </row>
    <row r="208" spans="6:8" x14ac:dyDescent="0.25">
      <c r="F208" s="16"/>
      <c r="G208" s="16"/>
      <c r="H208" s="11" t="str">
        <f>IF(OR($A208="",$F208=""),"",IF($D208="Done",0,MAX(0,Overview!$B$3-$F208)))</f>
        <v/>
      </c>
    </row>
    <row r="209" spans="6:8" x14ac:dyDescent="0.25">
      <c r="F209" s="16"/>
      <c r="G209" s="16"/>
      <c r="H209" s="11" t="str">
        <f>IF(OR($A209="",$F209=""),"",IF($D209="Done",0,MAX(0,Overview!$B$3-$F209)))</f>
        <v/>
      </c>
    </row>
    <row r="210" spans="6:8" x14ac:dyDescent="0.25">
      <c r="F210" s="16"/>
      <c r="G210" s="16"/>
      <c r="H210" s="11" t="str">
        <f>IF(OR($A210="",$F210=""),"",IF($D210="Done",0,MAX(0,Overview!$B$3-$F210)))</f>
        <v/>
      </c>
    </row>
    <row r="211" spans="6:8" x14ac:dyDescent="0.25">
      <c r="F211" s="16"/>
      <c r="G211" s="16"/>
      <c r="H211" s="11" t="str">
        <f>IF(OR($A211="",$F211=""),"",IF($D211="Done",0,MAX(0,Overview!$B$3-$F211)))</f>
        <v/>
      </c>
    </row>
    <row r="212" spans="6:8" x14ac:dyDescent="0.25">
      <c r="F212" s="16"/>
      <c r="G212" s="16"/>
      <c r="H212" s="11" t="str">
        <f>IF(OR($A212="",$F212=""),"",IF($D212="Done",0,MAX(0,Overview!$B$3-$F212)))</f>
        <v/>
      </c>
    </row>
    <row r="213" spans="6:8" x14ac:dyDescent="0.25">
      <c r="F213" s="16"/>
      <c r="G213" s="16"/>
      <c r="H213" s="11" t="str">
        <f>IF(OR($A213="",$F213=""),"",IF($D213="Done",0,MAX(0,Overview!$B$3-$F213)))</f>
        <v/>
      </c>
    </row>
    <row r="214" spans="6:8" x14ac:dyDescent="0.25">
      <c r="F214" s="16"/>
      <c r="G214" s="16"/>
      <c r="H214" s="11" t="str">
        <f>IF(OR($A214="",$F214=""),"",IF($D214="Done",0,MAX(0,Overview!$B$3-$F214)))</f>
        <v/>
      </c>
    </row>
    <row r="215" spans="6:8" x14ac:dyDescent="0.25">
      <c r="F215" s="16"/>
      <c r="G215" s="16"/>
      <c r="H215" s="11" t="str">
        <f>IF(OR($A215="",$F215=""),"",IF($D215="Done",0,MAX(0,Overview!$B$3-$F215)))</f>
        <v/>
      </c>
    </row>
    <row r="216" spans="6:8" x14ac:dyDescent="0.25">
      <c r="F216" s="16"/>
      <c r="G216" s="16"/>
      <c r="H216" s="11" t="str">
        <f>IF(OR($A216="",$F216=""),"",IF($D216="Done",0,MAX(0,Overview!$B$3-$F216)))</f>
        <v/>
      </c>
    </row>
    <row r="217" spans="6:8" x14ac:dyDescent="0.25">
      <c r="F217" s="16"/>
      <c r="G217" s="16"/>
      <c r="H217" s="11" t="str">
        <f>IF(OR($A217="",$F217=""),"",IF($D217="Done",0,MAX(0,Overview!$B$3-$F217)))</f>
        <v/>
      </c>
    </row>
    <row r="218" spans="6:8" x14ac:dyDescent="0.25">
      <c r="F218" s="16"/>
      <c r="G218" s="16"/>
      <c r="H218" s="11" t="str">
        <f>IF(OR($A218="",$F218=""),"",IF($D218="Done",0,MAX(0,Overview!$B$3-$F218)))</f>
        <v/>
      </c>
    </row>
    <row r="219" spans="6:8" x14ac:dyDescent="0.25">
      <c r="F219" s="16"/>
      <c r="G219" s="16"/>
      <c r="H219" s="11" t="str">
        <f>IF(OR($A219="",$F219=""),"",IF($D219="Done",0,MAX(0,Overview!$B$3-$F219)))</f>
        <v/>
      </c>
    </row>
    <row r="220" spans="6:8" x14ac:dyDescent="0.25">
      <c r="F220" s="16"/>
      <c r="G220" s="16"/>
      <c r="H220" s="11" t="str">
        <f>IF(OR($A220="",$F220=""),"",IF($D220="Done",0,MAX(0,Overview!$B$3-$F220)))</f>
        <v/>
      </c>
    </row>
    <row r="221" spans="6:8" x14ac:dyDescent="0.25">
      <c r="F221" s="16"/>
      <c r="G221" s="16"/>
      <c r="H221" s="11" t="str">
        <f>IF(OR($A221="",$F221=""),"",IF($D221="Done",0,MAX(0,Overview!$B$3-$F221)))</f>
        <v/>
      </c>
    </row>
    <row r="222" spans="6:8" x14ac:dyDescent="0.25">
      <c r="F222" s="16"/>
      <c r="G222" s="16"/>
      <c r="H222" s="11" t="str">
        <f>IF(OR($A222="",$F222=""),"",IF($D222="Done",0,MAX(0,Overview!$B$3-$F222)))</f>
        <v/>
      </c>
    </row>
    <row r="223" spans="6:8" x14ac:dyDescent="0.25">
      <c r="F223" s="16"/>
      <c r="G223" s="16"/>
      <c r="H223" s="11" t="str">
        <f>IF(OR($A223="",$F223=""),"",IF($D223="Done",0,MAX(0,Overview!$B$3-$F223)))</f>
        <v/>
      </c>
    </row>
    <row r="224" spans="6:8" x14ac:dyDescent="0.25">
      <c r="F224" s="16"/>
      <c r="G224" s="16"/>
      <c r="H224" s="11" t="str">
        <f>IF(OR($A224="",$F224=""),"",IF($D224="Done",0,MAX(0,Overview!$B$3-$F224)))</f>
        <v/>
      </c>
    </row>
    <row r="225" spans="6:8" x14ac:dyDescent="0.25">
      <c r="F225" s="16"/>
      <c r="G225" s="16"/>
      <c r="H225" s="11" t="str">
        <f>IF(OR($A225="",$F225=""),"",IF($D225="Done",0,MAX(0,Overview!$B$3-$F225)))</f>
        <v/>
      </c>
    </row>
    <row r="226" spans="6:8" x14ac:dyDescent="0.25">
      <c r="F226" s="16"/>
      <c r="G226" s="16"/>
      <c r="H226" s="11" t="str">
        <f>IF(OR($A226="",$F226=""),"",IF($D226="Done",0,MAX(0,Overview!$B$3-$F226)))</f>
        <v/>
      </c>
    </row>
    <row r="227" spans="6:8" x14ac:dyDescent="0.25">
      <c r="F227" s="16"/>
      <c r="G227" s="16"/>
      <c r="H227" s="11" t="str">
        <f>IF(OR($A227="",$F227=""),"",IF($D227="Done",0,MAX(0,Overview!$B$3-$F227)))</f>
        <v/>
      </c>
    </row>
    <row r="228" spans="6:8" x14ac:dyDescent="0.25">
      <c r="F228" s="16"/>
      <c r="G228" s="16"/>
      <c r="H228" s="11" t="str">
        <f>IF(OR($A228="",$F228=""),"",IF($D228="Done",0,MAX(0,Overview!$B$3-$F228)))</f>
        <v/>
      </c>
    </row>
    <row r="229" spans="6:8" x14ac:dyDescent="0.25">
      <c r="F229" s="16"/>
      <c r="G229" s="16"/>
      <c r="H229" s="11" t="str">
        <f>IF(OR($A229="",$F229=""),"",IF($D229="Done",0,MAX(0,Overview!$B$3-$F229)))</f>
        <v/>
      </c>
    </row>
    <row r="230" spans="6:8" x14ac:dyDescent="0.25">
      <c r="F230" s="16"/>
      <c r="G230" s="16"/>
      <c r="H230" s="11" t="str">
        <f>IF(OR($A230="",$F230=""),"",IF($D230="Done",0,MAX(0,Overview!$B$3-$F230)))</f>
        <v/>
      </c>
    </row>
    <row r="231" spans="6:8" x14ac:dyDescent="0.25">
      <c r="F231" s="16"/>
      <c r="G231" s="16"/>
      <c r="H231" s="11" t="str">
        <f>IF(OR($A231="",$F231=""),"",IF($D231="Done",0,MAX(0,Overview!$B$3-$F231)))</f>
        <v/>
      </c>
    </row>
    <row r="232" spans="6:8" x14ac:dyDescent="0.25">
      <c r="F232" s="16"/>
      <c r="G232" s="16"/>
      <c r="H232" s="11" t="str">
        <f>IF(OR($A232="",$F232=""),"",IF($D232="Done",0,MAX(0,Overview!$B$3-$F232)))</f>
        <v/>
      </c>
    </row>
    <row r="233" spans="6:8" x14ac:dyDescent="0.25">
      <c r="F233" s="16"/>
      <c r="G233" s="16"/>
      <c r="H233" s="11" t="str">
        <f>IF(OR($A233="",$F233=""),"",IF($D233="Done",0,MAX(0,Overview!$B$3-$F233)))</f>
        <v/>
      </c>
    </row>
    <row r="234" spans="6:8" x14ac:dyDescent="0.25">
      <c r="F234" s="16"/>
      <c r="G234" s="16"/>
      <c r="H234" s="11" t="str">
        <f>IF(OR($A234="",$F234=""),"",IF($D234="Done",0,MAX(0,Overview!$B$3-$F234)))</f>
        <v/>
      </c>
    </row>
    <row r="235" spans="6:8" x14ac:dyDescent="0.25">
      <c r="F235" s="16"/>
      <c r="G235" s="16"/>
      <c r="H235" s="11" t="str">
        <f>IF(OR($A235="",$F235=""),"",IF($D235="Done",0,MAX(0,Overview!$B$3-$F235)))</f>
        <v/>
      </c>
    </row>
    <row r="236" spans="6:8" x14ac:dyDescent="0.25">
      <c r="F236" s="16"/>
      <c r="G236" s="16"/>
      <c r="H236" s="11" t="str">
        <f>IF(OR($A236="",$F236=""),"",IF($D236="Done",0,MAX(0,Overview!$B$3-$F236)))</f>
        <v/>
      </c>
    </row>
    <row r="237" spans="6:8" x14ac:dyDescent="0.25">
      <c r="F237" s="16"/>
      <c r="G237" s="16"/>
      <c r="H237" s="11" t="str">
        <f>IF(OR($A237="",$F237=""),"",IF($D237="Done",0,MAX(0,Overview!$B$3-$F237)))</f>
        <v/>
      </c>
    </row>
    <row r="238" spans="6:8" x14ac:dyDescent="0.25">
      <c r="F238" s="16"/>
      <c r="G238" s="16"/>
      <c r="H238" s="11" t="str">
        <f>IF(OR($A238="",$F238=""),"",IF($D238="Done",0,MAX(0,Overview!$B$3-$F238)))</f>
        <v/>
      </c>
    </row>
    <row r="239" spans="6:8" x14ac:dyDescent="0.25">
      <c r="F239" s="16"/>
      <c r="G239" s="16"/>
      <c r="H239" s="11" t="str">
        <f>IF(OR($A239="",$F239=""),"",IF($D239="Done",0,MAX(0,Overview!$B$3-$F239)))</f>
        <v/>
      </c>
    </row>
    <row r="240" spans="6:8" x14ac:dyDescent="0.25">
      <c r="F240" s="16"/>
      <c r="G240" s="16"/>
      <c r="H240" s="11" t="str">
        <f>IF(OR($A240="",$F240=""),"",IF($D240="Done",0,MAX(0,Overview!$B$3-$F240)))</f>
        <v/>
      </c>
    </row>
    <row r="241" spans="6:8" x14ac:dyDescent="0.25">
      <c r="F241" s="16"/>
      <c r="G241" s="16"/>
      <c r="H241" s="11" t="str">
        <f>IF(OR($A241="",$F241=""),"",IF($D241="Done",0,MAX(0,Overview!$B$3-$F241)))</f>
        <v/>
      </c>
    </row>
    <row r="242" spans="6:8" x14ac:dyDescent="0.25">
      <c r="F242" s="16"/>
      <c r="G242" s="16"/>
      <c r="H242" s="11" t="str">
        <f>IF(OR($A242="",$F242=""),"",IF($D242="Done",0,MAX(0,Overview!$B$3-$F242)))</f>
        <v/>
      </c>
    </row>
    <row r="243" spans="6:8" x14ac:dyDescent="0.25">
      <c r="F243" s="16"/>
      <c r="G243" s="16"/>
      <c r="H243" s="11" t="str">
        <f>IF(OR($A243="",$F243=""),"",IF($D243="Done",0,MAX(0,Overview!$B$3-$F243)))</f>
        <v/>
      </c>
    </row>
    <row r="244" spans="6:8" x14ac:dyDescent="0.25">
      <c r="F244" s="16"/>
      <c r="G244" s="16"/>
      <c r="H244" s="11" t="str">
        <f>IF(OR($A244="",$F244=""),"",IF($D244="Done",0,MAX(0,Overview!$B$3-$F244)))</f>
        <v/>
      </c>
    </row>
    <row r="245" spans="6:8" x14ac:dyDescent="0.25">
      <c r="F245" s="16"/>
      <c r="G245" s="16"/>
      <c r="H245" s="11" t="str">
        <f>IF(OR($A245="",$F245=""),"",IF($D245="Done",0,MAX(0,Overview!$B$3-$F245)))</f>
        <v/>
      </c>
    </row>
    <row r="246" spans="6:8" x14ac:dyDescent="0.25">
      <c r="F246" s="16"/>
      <c r="G246" s="16"/>
      <c r="H246" s="11" t="str">
        <f>IF(OR($A246="",$F246=""),"",IF($D246="Done",0,MAX(0,Overview!$B$3-$F246)))</f>
        <v/>
      </c>
    </row>
    <row r="247" spans="6:8" x14ac:dyDescent="0.25">
      <c r="F247" s="16"/>
      <c r="G247" s="16"/>
      <c r="H247" s="11" t="str">
        <f>IF(OR($A247="",$F247=""),"",IF($D247="Done",0,MAX(0,Overview!$B$3-$F247)))</f>
        <v/>
      </c>
    </row>
    <row r="248" spans="6:8" x14ac:dyDescent="0.25">
      <c r="F248" s="16"/>
      <c r="G248" s="16"/>
      <c r="H248" s="11" t="str">
        <f>IF(OR($A248="",$F248=""),"",IF($D248="Done",0,MAX(0,Overview!$B$3-$F248)))</f>
        <v/>
      </c>
    </row>
    <row r="249" spans="6:8" x14ac:dyDescent="0.25">
      <c r="F249" s="16"/>
      <c r="G249" s="16"/>
      <c r="H249" s="11" t="str">
        <f>IF(OR($A249="",$F249=""),"",IF($D249="Done",0,MAX(0,Overview!$B$3-$F249)))</f>
        <v/>
      </c>
    </row>
    <row r="250" spans="6:8" x14ac:dyDescent="0.25">
      <c r="F250" s="16"/>
      <c r="G250" s="16"/>
      <c r="H250" s="11" t="str">
        <f>IF(OR($A250="",$F250=""),"",IF($D250="Done",0,MAX(0,Overview!$B$3-$F250)))</f>
        <v/>
      </c>
    </row>
    <row r="251" spans="6:8" x14ac:dyDescent="0.25">
      <c r="F251" s="16"/>
      <c r="G251" s="16"/>
      <c r="H251" s="11" t="str">
        <f>IF(OR($A251="",$F251=""),"",IF($D251="Done",0,MAX(0,Overview!$B$3-$F251)))</f>
        <v/>
      </c>
    </row>
    <row r="252" spans="6:8" x14ac:dyDescent="0.25">
      <c r="F252" s="16"/>
      <c r="G252" s="16"/>
      <c r="H252" s="11" t="str">
        <f>IF(OR($A252="",$F252=""),"",IF($D252="Done",0,MAX(0,Overview!$B$3-$F252)))</f>
        <v/>
      </c>
    </row>
    <row r="253" spans="6:8" x14ac:dyDescent="0.25">
      <c r="F253" s="16"/>
      <c r="G253" s="16"/>
      <c r="H253" s="11" t="str">
        <f>IF(OR($A253="",$F253=""),"",IF($D253="Done",0,MAX(0,Overview!$B$3-$F253)))</f>
        <v/>
      </c>
    </row>
    <row r="254" spans="6:8" x14ac:dyDescent="0.25">
      <c r="F254" s="16"/>
      <c r="G254" s="16"/>
      <c r="H254" s="11" t="str">
        <f>IF(OR($A254="",$F254=""),"",IF($D254="Done",0,MAX(0,Overview!$B$3-$F254)))</f>
        <v/>
      </c>
    </row>
    <row r="255" spans="6:8" x14ac:dyDescent="0.25">
      <c r="F255" s="16"/>
      <c r="G255" s="16"/>
      <c r="H255" s="11" t="str">
        <f>IF(OR($A255="",$F255=""),"",IF($D255="Done",0,MAX(0,Overview!$B$3-$F255)))</f>
        <v/>
      </c>
    </row>
    <row r="256" spans="6:8" x14ac:dyDescent="0.25">
      <c r="F256" s="16"/>
      <c r="G256" s="16"/>
      <c r="H256" s="11" t="str">
        <f>IF(OR($A256="",$F256=""),"",IF($D256="Done",0,MAX(0,Overview!$B$3-$F256)))</f>
        <v/>
      </c>
    </row>
    <row r="257" spans="6:8" x14ac:dyDescent="0.25">
      <c r="F257" s="16"/>
      <c r="G257" s="16"/>
      <c r="H257" s="11" t="str">
        <f>IF(OR($A257="",$F257=""),"",IF($D257="Done",0,MAX(0,Overview!$B$3-$F257)))</f>
        <v/>
      </c>
    </row>
    <row r="258" spans="6:8" x14ac:dyDescent="0.25">
      <c r="F258" s="16"/>
      <c r="G258" s="16"/>
      <c r="H258" s="11" t="str">
        <f>IF(OR($A258="",$F258=""),"",IF($D258="Done",0,MAX(0,Overview!$B$3-$F258)))</f>
        <v/>
      </c>
    </row>
    <row r="259" spans="6:8" x14ac:dyDescent="0.25">
      <c r="F259" s="16"/>
      <c r="G259" s="16"/>
      <c r="H259" s="11" t="str">
        <f>IF(OR($A259="",$F259=""),"",IF($D259="Done",0,MAX(0,Overview!$B$3-$F259)))</f>
        <v/>
      </c>
    </row>
    <row r="260" spans="6:8" x14ac:dyDescent="0.25">
      <c r="F260" s="16"/>
      <c r="G260" s="16"/>
      <c r="H260" s="11" t="str">
        <f>IF(OR($A260="",$F260=""),"",IF($D260="Done",0,MAX(0,Overview!$B$3-$F260)))</f>
        <v/>
      </c>
    </row>
    <row r="261" spans="6:8" x14ac:dyDescent="0.25">
      <c r="F261" s="16"/>
      <c r="G261" s="16"/>
      <c r="H261" s="11" t="str">
        <f>IF(OR($A261="",$F261=""),"",IF($D261="Done",0,MAX(0,Overview!$B$3-$F261)))</f>
        <v/>
      </c>
    </row>
    <row r="262" spans="6:8" x14ac:dyDescent="0.25">
      <c r="F262" s="16"/>
      <c r="G262" s="16"/>
      <c r="H262" s="11" t="str">
        <f>IF(OR($A262="",$F262=""),"",IF($D262="Done",0,MAX(0,Overview!$B$3-$F262)))</f>
        <v/>
      </c>
    </row>
    <row r="263" spans="6:8" x14ac:dyDescent="0.25">
      <c r="F263" s="16"/>
      <c r="G263" s="16"/>
      <c r="H263" s="11" t="str">
        <f>IF(OR($A263="",$F263=""),"",IF($D263="Done",0,MAX(0,Overview!$B$3-$F263)))</f>
        <v/>
      </c>
    </row>
    <row r="264" spans="6:8" x14ac:dyDescent="0.25">
      <c r="F264" s="16"/>
      <c r="G264" s="16"/>
      <c r="H264" s="11" t="str">
        <f>IF(OR($A264="",$F264=""),"",IF($D264="Done",0,MAX(0,Overview!$B$3-$F264)))</f>
        <v/>
      </c>
    </row>
    <row r="265" spans="6:8" x14ac:dyDescent="0.25">
      <c r="F265" s="16"/>
      <c r="G265" s="16"/>
      <c r="H265" s="11" t="str">
        <f>IF(OR($A265="",$F265=""),"",IF($D265="Done",0,MAX(0,Overview!$B$3-$F265)))</f>
        <v/>
      </c>
    </row>
    <row r="266" spans="6:8" x14ac:dyDescent="0.25">
      <c r="F266" s="16"/>
      <c r="G266" s="16"/>
      <c r="H266" s="11" t="str">
        <f>IF(OR($A266="",$F266=""),"",IF($D266="Done",0,MAX(0,Overview!$B$3-$F266)))</f>
        <v/>
      </c>
    </row>
    <row r="267" spans="6:8" x14ac:dyDescent="0.25">
      <c r="F267" s="16"/>
      <c r="G267" s="16"/>
      <c r="H267" s="11" t="str">
        <f>IF(OR($A267="",$F267=""),"",IF($D267="Done",0,MAX(0,Overview!$B$3-$F267)))</f>
        <v/>
      </c>
    </row>
    <row r="268" spans="6:8" x14ac:dyDescent="0.25">
      <c r="F268" s="16"/>
      <c r="G268" s="16"/>
      <c r="H268" s="11" t="str">
        <f>IF(OR($A268="",$F268=""),"",IF($D268="Done",0,MAX(0,Overview!$B$3-$F268)))</f>
        <v/>
      </c>
    </row>
    <row r="269" spans="6:8" x14ac:dyDescent="0.25">
      <c r="F269" s="16"/>
      <c r="G269" s="16"/>
      <c r="H269" s="11" t="str">
        <f>IF(OR($A269="",$F269=""),"",IF($D269="Done",0,MAX(0,Overview!$B$3-$F269)))</f>
        <v/>
      </c>
    </row>
    <row r="270" spans="6:8" x14ac:dyDescent="0.25">
      <c r="F270" s="16"/>
      <c r="G270" s="16"/>
      <c r="H270" s="11" t="str">
        <f>IF(OR($A270="",$F270=""),"",IF($D270="Done",0,MAX(0,Overview!$B$3-$F270)))</f>
        <v/>
      </c>
    </row>
    <row r="271" spans="6:8" x14ac:dyDescent="0.25">
      <c r="F271" s="16"/>
      <c r="G271" s="16"/>
      <c r="H271" s="11" t="str">
        <f>IF(OR($A271="",$F271=""),"",IF($D271="Done",0,MAX(0,Overview!$B$3-$F271)))</f>
        <v/>
      </c>
    </row>
    <row r="272" spans="6:8" x14ac:dyDescent="0.25">
      <c r="F272" s="16"/>
      <c r="G272" s="16"/>
      <c r="H272" s="11" t="str">
        <f>IF(OR($A272="",$F272=""),"",IF($D272="Done",0,MAX(0,Overview!$B$3-$F272)))</f>
        <v/>
      </c>
    </row>
    <row r="273" spans="6:8" x14ac:dyDescent="0.25">
      <c r="F273" s="16"/>
      <c r="G273" s="16"/>
      <c r="H273" s="11" t="str">
        <f>IF(OR($A273="",$F273=""),"",IF($D273="Done",0,MAX(0,Overview!$B$3-$F273)))</f>
        <v/>
      </c>
    </row>
    <row r="274" spans="6:8" x14ac:dyDescent="0.25">
      <c r="F274" s="16"/>
      <c r="G274" s="16"/>
      <c r="H274" s="11" t="str">
        <f>IF(OR($A274="",$F274=""),"",IF($D274="Done",0,MAX(0,Overview!$B$3-$F274)))</f>
        <v/>
      </c>
    </row>
    <row r="275" spans="6:8" x14ac:dyDescent="0.25">
      <c r="F275" s="16"/>
      <c r="G275" s="16"/>
      <c r="H275" s="11" t="str">
        <f>IF(OR($A275="",$F275=""),"",IF($D275="Done",0,MAX(0,Overview!$B$3-$F275)))</f>
        <v/>
      </c>
    </row>
    <row r="276" spans="6:8" x14ac:dyDescent="0.25">
      <c r="F276" s="16"/>
      <c r="G276" s="16"/>
      <c r="H276" s="11" t="str">
        <f>IF(OR($A276="",$F276=""),"",IF($D276="Done",0,MAX(0,Overview!$B$3-$F276)))</f>
        <v/>
      </c>
    </row>
    <row r="277" spans="6:8" x14ac:dyDescent="0.25">
      <c r="F277" s="16"/>
      <c r="G277" s="16"/>
      <c r="H277" s="11" t="str">
        <f>IF(OR($A277="",$F277=""),"",IF($D277="Done",0,MAX(0,Overview!$B$3-$F277)))</f>
        <v/>
      </c>
    </row>
    <row r="278" spans="6:8" x14ac:dyDescent="0.25">
      <c r="F278" s="16"/>
      <c r="G278" s="16"/>
      <c r="H278" s="11" t="str">
        <f>IF(OR($A278="",$F278=""),"",IF($D278="Done",0,MAX(0,Overview!$B$3-$F278)))</f>
        <v/>
      </c>
    </row>
    <row r="279" spans="6:8" x14ac:dyDescent="0.25">
      <c r="F279" s="16"/>
      <c r="G279" s="16"/>
      <c r="H279" s="11" t="str">
        <f>IF(OR($A279="",$F279=""),"",IF($D279="Done",0,MAX(0,Overview!$B$3-$F279)))</f>
        <v/>
      </c>
    </row>
    <row r="280" spans="6:8" x14ac:dyDescent="0.25">
      <c r="F280" s="16"/>
      <c r="G280" s="16"/>
      <c r="H280" s="11" t="str">
        <f>IF(OR($A280="",$F280=""),"",IF($D280="Done",0,MAX(0,Overview!$B$3-$F280)))</f>
        <v/>
      </c>
    </row>
    <row r="281" spans="6:8" x14ac:dyDescent="0.25">
      <c r="F281" s="16"/>
      <c r="G281" s="16"/>
      <c r="H281" s="11" t="str">
        <f>IF(OR($A281="",$F281=""),"",IF($D281="Done",0,MAX(0,Overview!$B$3-$F281)))</f>
        <v/>
      </c>
    </row>
    <row r="282" spans="6:8" x14ac:dyDescent="0.25">
      <c r="F282" s="16"/>
      <c r="G282" s="16"/>
      <c r="H282" s="11" t="str">
        <f>IF(OR($A282="",$F282=""),"",IF($D282="Done",0,MAX(0,Overview!$B$3-$F282)))</f>
        <v/>
      </c>
    </row>
    <row r="283" spans="6:8" x14ac:dyDescent="0.25">
      <c r="F283" s="16"/>
      <c r="G283" s="16"/>
      <c r="H283" s="11" t="str">
        <f>IF(OR($A283="",$F283=""),"",IF($D283="Done",0,MAX(0,Overview!$B$3-$F283)))</f>
        <v/>
      </c>
    </row>
    <row r="284" spans="6:8" x14ac:dyDescent="0.25">
      <c r="F284" s="16"/>
      <c r="G284" s="16"/>
      <c r="H284" s="11" t="str">
        <f>IF(OR($A284="",$F284=""),"",IF($D284="Done",0,MAX(0,Overview!$B$3-$F284)))</f>
        <v/>
      </c>
    </row>
    <row r="285" spans="6:8" x14ac:dyDescent="0.25">
      <c r="F285" s="16"/>
      <c r="G285" s="16"/>
      <c r="H285" s="11" t="str">
        <f>IF(OR($A285="",$F285=""),"",IF($D285="Done",0,MAX(0,Overview!$B$3-$F285)))</f>
        <v/>
      </c>
    </row>
    <row r="286" spans="6:8" x14ac:dyDescent="0.25">
      <c r="F286" s="16"/>
      <c r="G286" s="16"/>
      <c r="H286" s="11" t="str">
        <f>IF(OR($A286="",$F286=""),"",IF($D286="Done",0,MAX(0,Overview!$B$3-$F286)))</f>
        <v/>
      </c>
    </row>
    <row r="287" spans="6:8" x14ac:dyDescent="0.25">
      <c r="F287" s="16"/>
      <c r="G287" s="16"/>
      <c r="H287" s="11" t="str">
        <f>IF(OR($A287="",$F287=""),"",IF($D287="Done",0,MAX(0,Overview!$B$3-$F287)))</f>
        <v/>
      </c>
    </row>
    <row r="288" spans="6:8" x14ac:dyDescent="0.25">
      <c r="F288" s="16"/>
      <c r="G288" s="16"/>
      <c r="H288" s="11" t="str">
        <f>IF(OR($A288="",$F288=""),"",IF($D288="Done",0,MAX(0,Overview!$B$3-$F288)))</f>
        <v/>
      </c>
    </row>
    <row r="289" spans="6:8" x14ac:dyDescent="0.25">
      <c r="F289" s="16"/>
      <c r="G289" s="16"/>
      <c r="H289" s="11" t="str">
        <f>IF(OR($A289="",$F289=""),"",IF($D289="Done",0,MAX(0,Overview!$B$3-$F289)))</f>
        <v/>
      </c>
    </row>
    <row r="290" spans="6:8" x14ac:dyDescent="0.25">
      <c r="F290" s="16"/>
      <c r="G290" s="16"/>
      <c r="H290" s="11" t="str">
        <f>IF(OR($A290="",$F290=""),"",IF($D290="Done",0,MAX(0,Overview!$B$3-$F290)))</f>
        <v/>
      </c>
    </row>
    <row r="291" spans="6:8" x14ac:dyDescent="0.25">
      <c r="F291" s="16"/>
      <c r="G291" s="16"/>
      <c r="H291" s="11" t="str">
        <f>IF(OR($A291="",$F291=""),"",IF($D291="Done",0,MAX(0,Overview!$B$3-$F291)))</f>
        <v/>
      </c>
    </row>
    <row r="292" spans="6:8" x14ac:dyDescent="0.25">
      <c r="F292" s="16"/>
      <c r="G292" s="16"/>
      <c r="H292" s="11" t="str">
        <f>IF(OR($A292="",$F292=""),"",IF($D292="Done",0,MAX(0,Overview!$B$3-$F292)))</f>
        <v/>
      </c>
    </row>
    <row r="293" spans="6:8" x14ac:dyDescent="0.25">
      <c r="F293" s="16"/>
      <c r="G293" s="16"/>
      <c r="H293" s="11" t="str">
        <f>IF(OR($A293="",$F293=""),"",IF($D293="Done",0,MAX(0,Overview!$B$3-$F293)))</f>
        <v/>
      </c>
    </row>
    <row r="294" spans="6:8" x14ac:dyDescent="0.25">
      <c r="F294" s="16"/>
      <c r="G294" s="16"/>
      <c r="H294" s="11" t="str">
        <f>IF(OR($A294="",$F294=""),"",IF($D294="Done",0,MAX(0,Overview!$B$3-$F294)))</f>
        <v/>
      </c>
    </row>
    <row r="295" spans="6:8" x14ac:dyDescent="0.25">
      <c r="F295" s="16"/>
      <c r="G295" s="16"/>
      <c r="H295" s="11" t="str">
        <f>IF(OR($A295="",$F295=""),"",IF($D295="Done",0,MAX(0,Overview!$B$3-$F295)))</f>
        <v/>
      </c>
    </row>
    <row r="296" spans="6:8" x14ac:dyDescent="0.25">
      <c r="F296" s="16"/>
      <c r="G296" s="16"/>
      <c r="H296" s="11" t="str">
        <f>IF(OR($A296="",$F296=""),"",IF($D296="Done",0,MAX(0,Overview!$B$3-$F296)))</f>
        <v/>
      </c>
    </row>
    <row r="297" spans="6:8" x14ac:dyDescent="0.25">
      <c r="F297" s="16"/>
      <c r="G297" s="16"/>
      <c r="H297" s="11" t="str">
        <f>IF(OR($A297="",$F297=""),"",IF($D297="Done",0,MAX(0,Overview!$B$3-$F297)))</f>
        <v/>
      </c>
    </row>
    <row r="298" spans="6:8" x14ac:dyDescent="0.25">
      <c r="F298" s="16"/>
      <c r="G298" s="16"/>
      <c r="H298" s="11" t="str">
        <f>IF(OR($A298="",$F298=""),"",IF($D298="Done",0,MAX(0,Overview!$B$3-$F298)))</f>
        <v/>
      </c>
    </row>
    <row r="299" spans="6:8" x14ac:dyDescent="0.25">
      <c r="F299" s="16"/>
      <c r="G299" s="16"/>
      <c r="H299" s="11" t="str">
        <f>IF(OR($A299="",$F299=""),"",IF($D299="Done",0,MAX(0,Overview!$B$3-$F299)))</f>
        <v/>
      </c>
    </row>
    <row r="300" spans="6:8" x14ac:dyDescent="0.25">
      <c r="F300" s="16"/>
      <c r="G300" s="16"/>
      <c r="H300" s="11" t="str">
        <f>IF(OR($A300="",$F300=""),"",IF($D300="Done",0,MAX(0,Overview!$B$3-$F300)))</f>
        <v/>
      </c>
    </row>
    <row r="301" spans="6:8" x14ac:dyDescent="0.25">
      <c r="F301" s="16"/>
      <c r="G301" s="16"/>
      <c r="H301" s="11" t="str">
        <f>IF(OR($A301="",$F301=""),"",IF($D301="Done",0,MAX(0,Overview!$B$3-$F301)))</f>
        <v/>
      </c>
    </row>
    <row r="302" spans="6:8" x14ac:dyDescent="0.25">
      <c r="F302" s="16"/>
      <c r="G302" s="16"/>
      <c r="H302" s="11" t="str">
        <f>IF(OR($A302="",$F302=""),"",IF($D302="Done",0,MAX(0,Overview!$B$3-$F302)))</f>
        <v/>
      </c>
    </row>
    <row r="303" spans="6:8" x14ac:dyDescent="0.25">
      <c r="F303" s="16"/>
      <c r="G303" s="16"/>
      <c r="H303" s="11" t="str">
        <f>IF(OR($A303="",$F303=""),"",IF($D303="Done",0,MAX(0,Overview!$B$3-$F303)))</f>
        <v/>
      </c>
    </row>
    <row r="304" spans="6:8" x14ac:dyDescent="0.25">
      <c r="F304" s="16"/>
      <c r="G304" s="16"/>
      <c r="H304" s="11" t="str">
        <f>IF(OR($A304="",$F304=""),"",IF($D304="Done",0,MAX(0,Overview!$B$3-$F304)))</f>
        <v/>
      </c>
    </row>
    <row r="305" spans="6:8" x14ac:dyDescent="0.25">
      <c r="F305" s="16"/>
      <c r="G305" s="16"/>
      <c r="H305" s="11" t="str">
        <f>IF(OR($A305="",$F305=""),"",IF($D305="Done",0,MAX(0,Overview!$B$3-$F305)))</f>
        <v/>
      </c>
    </row>
    <row r="306" spans="6:8" x14ac:dyDescent="0.25">
      <c r="F306" s="16"/>
      <c r="G306" s="16"/>
      <c r="H306" s="11" t="str">
        <f>IF(OR($A306="",$F306=""),"",IF($D306="Done",0,MAX(0,Overview!$B$3-$F306)))</f>
        <v/>
      </c>
    </row>
    <row r="307" spans="6:8" x14ac:dyDescent="0.25">
      <c r="F307" s="16"/>
      <c r="G307" s="16"/>
      <c r="H307" s="11" t="str">
        <f>IF(OR($A307="",$F307=""),"",IF($D307="Done",0,MAX(0,Overview!$B$3-$F307)))</f>
        <v/>
      </c>
    </row>
    <row r="308" spans="6:8" x14ac:dyDescent="0.25">
      <c r="F308" s="16"/>
      <c r="G308" s="16"/>
      <c r="H308" s="11" t="str">
        <f>IF(OR($A308="",$F308=""),"",IF($D308="Done",0,MAX(0,Overview!$B$3-$F308)))</f>
        <v/>
      </c>
    </row>
    <row r="309" spans="6:8" x14ac:dyDescent="0.25">
      <c r="F309" s="16"/>
      <c r="G309" s="16"/>
      <c r="H309" s="11" t="str">
        <f>IF(OR($A309="",$F309=""),"",IF($D309="Done",0,MAX(0,Overview!$B$3-$F309)))</f>
        <v/>
      </c>
    </row>
    <row r="310" spans="6:8" x14ac:dyDescent="0.25">
      <c r="F310" s="16"/>
      <c r="G310" s="16"/>
      <c r="H310" s="11" t="str">
        <f>IF(OR($A310="",$F310=""),"",IF($D310="Done",0,MAX(0,Overview!$B$3-$F310)))</f>
        <v/>
      </c>
    </row>
    <row r="311" spans="6:8" x14ac:dyDescent="0.25">
      <c r="F311" s="16"/>
      <c r="G311" s="16"/>
      <c r="H311" s="11" t="str">
        <f>IF(OR($A311="",$F311=""),"",IF($D311="Done",0,MAX(0,Overview!$B$3-$F311)))</f>
        <v/>
      </c>
    </row>
    <row r="312" spans="6:8" x14ac:dyDescent="0.25">
      <c r="F312" s="16"/>
      <c r="G312" s="16"/>
      <c r="H312" s="11" t="str">
        <f>IF(OR($A312="",$F312=""),"",IF($D312="Done",0,MAX(0,Overview!$B$3-$F312)))</f>
        <v/>
      </c>
    </row>
    <row r="313" spans="6:8" x14ac:dyDescent="0.25">
      <c r="F313" s="16"/>
      <c r="G313" s="16"/>
      <c r="H313" s="11" t="str">
        <f>IF(OR($A313="",$F313=""),"",IF($D313="Done",0,MAX(0,Overview!$B$3-$F313)))</f>
        <v/>
      </c>
    </row>
    <row r="314" spans="6:8" x14ac:dyDescent="0.25">
      <c r="F314" s="16"/>
      <c r="G314" s="16"/>
      <c r="H314" s="11" t="str">
        <f>IF(OR($A314="",$F314=""),"",IF($D314="Done",0,MAX(0,Overview!$B$3-$F314)))</f>
        <v/>
      </c>
    </row>
    <row r="315" spans="6:8" x14ac:dyDescent="0.25">
      <c r="F315" s="16"/>
      <c r="G315" s="16"/>
      <c r="H315" s="11" t="str">
        <f>IF(OR($A315="",$F315=""),"",IF($D315="Done",0,MAX(0,Overview!$B$3-$F315)))</f>
        <v/>
      </c>
    </row>
    <row r="316" spans="6:8" x14ac:dyDescent="0.25">
      <c r="F316" s="16"/>
      <c r="G316" s="16"/>
      <c r="H316" s="11" t="str">
        <f>IF(OR($A316="",$F316=""),"",IF($D316="Done",0,MAX(0,Overview!$B$3-$F316)))</f>
        <v/>
      </c>
    </row>
    <row r="317" spans="6:8" x14ac:dyDescent="0.25">
      <c r="F317" s="16"/>
      <c r="G317" s="16"/>
      <c r="H317" s="11" t="str">
        <f>IF(OR($A317="",$F317=""),"",IF($D317="Done",0,MAX(0,Overview!$B$3-$F317)))</f>
        <v/>
      </c>
    </row>
    <row r="318" spans="6:8" x14ac:dyDescent="0.25">
      <c r="F318" s="16"/>
      <c r="G318" s="16"/>
      <c r="H318" s="11" t="str">
        <f>IF(OR($A318="",$F318=""),"",IF($D318="Done",0,MAX(0,Overview!$B$3-$F318)))</f>
        <v/>
      </c>
    </row>
    <row r="319" spans="6:8" x14ac:dyDescent="0.25">
      <c r="F319" s="16"/>
      <c r="G319" s="16"/>
      <c r="H319" s="11" t="str">
        <f>IF(OR($A319="",$F319=""),"",IF($D319="Done",0,MAX(0,Overview!$B$3-$F319)))</f>
        <v/>
      </c>
    </row>
    <row r="320" spans="6:8" x14ac:dyDescent="0.25">
      <c r="F320" s="16"/>
      <c r="G320" s="16"/>
      <c r="H320" s="11" t="str">
        <f>IF(OR($A320="",$F320=""),"",IF($D320="Done",0,MAX(0,Overview!$B$3-$F320)))</f>
        <v/>
      </c>
    </row>
    <row r="321" spans="6:8" x14ac:dyDescent="0.25">
      <c r="F321" s="16"/>
      <c r="G321" s="16"/>
      <c r="H321" s="11" t="str">
        <f>IF(OR($A321="",$F321=""),"",IF($D321="Done",0,MAX(0,Overview!$B$3-$F321)))</f>
        <v/>
      </c>
    </row>
    <row r="322" spans="6:8" x14ac:dyDescent="0.25">
      <c r="F322" s="16"/>
      <c r="G322" s="16"/>
      <c r="H322" s="11" t="str">
        <f>IF(OR($A322="",$F322=""),"",IF($D322="Done",0,MAX(0,Overview!$B$3-$F322)))</f>
        <v/>
      </c>
    </row>
    <row r="323" spans="6:8" x14ac:dyDescent="0.25">
      <c r="F323" s="16"/>
      <c r="G323" s="16"/>
      <c r="H323" s="11" t="str">
        <f>IF(OR($A323="",$F323=""),"",IF($D323="Done",0,MAX(0,Overview!$B$3-$F323)))</f>
        <v/>
      </c>
    </row>
    <row r="324" spans="6:8" x14ac:dyDescent="0.25">
      <c r="F324" s="16"/>
      <c r="G324" s="16"/>
      <c r="H324" s="11" t="str">
        <f>IF(OR($A324="",$F324=""),"",IF($D324="Done",0,MAX(0,Overview!$B$3-$F324)))</f>
        <v/>
      </c>
    </row>
    <row r="325" spans="6:8" x14ac:dyDescent="0.25">
      <c r="F325" s="16"/>
      <c r="G325" s="16"/>
      <c r="H325" s="11" t="str">
        <f>IF(OR($A325="",$F325=""),"",IF($D325="Done",0,MAX(0,Overview!$B$3-$F325)))</f>
        <v/>
      </c>
    </row>
    <row r="326" spans="6:8" x14ac:dyDescent="0.25">
      <c r="F326" s="16"/>
      <c r="G326" s="16"/>
      <c r="H326" s="11" t="str">
        <f>IF(OR($A326="",$F326=""),"",IF($D326="Done",0,MAX(0,Overview!$B$3-$F326)))</f>
        <v/>
      </c>
    </row>
    <row r="327" spans="6:8" x14ac:dyDescent="0.25">
      <c r="F327" s="16"/>
      <c r="G327" s="16"/>
      <c r="H327" s="11" t="str">
        <f>IF(OR($A327="",$F327=""),"",IF($D327="Done",0,MAX(0,Overview!$B$3-$F327)))</f>
        <v/>
      </c>
    </row>
    <row r="328" spans="6:8" x14ac:dyDescent="0.25">
      <c r="F328" s="16"/>
      <c r="G328" s="16"/>
      <c r="H328" s="11" t="str">
        <f>IF(OR($A328="",$F328=""),"",IF($D328="Done",0,MAX(0,Overview!$B$3-$F328)))</f>
        <v/>
      </c>
    </row>
    <row r="329" spans="6:8" x14ac:dyDescent="0.25">
      <c r="F329" s="16"/>
      <c r="G329" s="16"/>
      <c r="H329" s="11" t="str">
        <f>IF(OR($A329="",$F329=""),"",IF($D329="Done",0,MAX(0,Overview!$B$3-$F329)))</f>
        <v/>
      </c>
    </row>
    <row r="330" spans="6:8" x14ac:dyDescent="0.25">
      <c r="F330" s="16"/>
      <c r="G330" s="16"/>
      <c r="H330" s="11" t="str">
        <f>IF(OR($A330="",$F330=""),"",IF($D330="Done",0,MAX(0,Overview!$B$3-$F330)))</f>
        <v/>
      </c>
    </row>
    <row r="331" spans="6:8" x14ac:dyDescent="0.25">
      <c r="F331" s="16"/>
      <c r="G331" s="16"/>
      <c r="H331" s="11" t="str">
        <f>IF(OR($A331="",$F331=""),"",IF($D331="Done",0,MAX(0,Overview!$B$3-$F331)))</f>
        <v/>
      </c>
    </row>
    <row r="332" spans="6:8" x14ac:dyDescent="0.25">
      <c r="F332" s="16"/>
      <c r="G332" s="16"/>
      <c r="H332" s="11" t="str">
        <f>IF(OR($A332="",$F332=""),"",IF($D332="Done",0,MAX(0,Overview!$B$3-$F332)))</f>
        <v/>
      </c>
    </row>
    <row r="333" spans="6:8" x14ac:dyDescent="0.25">
      <c r="F333" s="16"/>
      <c r="G333" s="16"/>
      <c r="H333" s="11" t="str">
        <f>IF(OR($A333="",$F333=""),"",IF($D333="Done",0,MAX(0,Overview!$B$3-$F333)))</f>
        <v/>
      </c>
    </row>
    <row r="334" spans="6:8" x14ac:dyDescent="0.25">
      <c r="F334" s="16"/>
      <c r="G334" s="16"/>
      <c r="H334" s="11" t="str">
        <f>IF(OR($A334="",$F334=""),"",IF($D334="Done",0,MAX(0,Overview!$B$3-$F334)))</f>
        <v/>
      </c>
    </row>
    <row r="335" spans="6:8" x14ac:dyDescent="0.25">
      <c r="F335" s="16"/>
      <c r="G335" s="16"/>
      <c r="H335" s="11" t="str">
        <f>IF(OR($A335="",$F335=""),"",IF($D335="Done",0,MAX(0,Overview!$B$3-$F335)))</f>
        <v/>
      </c>
    </row>
    <row r="336" spans="6:8" x14ac:dyDescent="0.25">
      <c r="F336" s="16"/>
      <c r="G336" s="16"/>
      <c r="H336" s="11" t="str">
        <f>IF(OR($A336="",$F336=""),"",IF($D336="Done",0,MAX(0,Overview!$B$3-$F336)))</f>
        <v/>
      </c>
    </row>
    <row r="337" spans="6:8" x14ac:dyDescent="0.25">
      <c r="F337" s="16"/>
      <c r="G337" s="16"/>
      <c r="H337" s="11" t="str">
        <f>IF(OR($A337="",$F337=""),"",IF($D337="Done",0,MAX(0,Overview!$B$3-$F337)))</f>
        <v/>
      </c>
    </row>
    <row r="338" spans="6:8" x14ac:dyDescent="0.25">
      <c r="F338" s="16"/>
      <c r="G338" s="16"/>
      <c r="H338" s="11" t="str">
        <f>IF(OR($A338="",$F338=""),"",IF($D338="Done",0,MAX(0,Overview!$B$3-$F338)))</f>
        <v/>
      </c>
    </row>
    <row r="339" spans="6:8" x14ac:dyDescent="0.25">
      <c r="F339" s="16"/>
      <c r="G339" s="16"/>
      <c r="H339" s="11" t="str">
        <f>IF(OR($A339="",$F339=""),"",IF($D339="Done",0,MAX(0,Overview!$B$3-$F339)))</f>
        <v/>
      </c>
    </row>
    <row r="340" spans="6:8" x14ac:dyDescent="0.25">
      <c r="F340" s="16"/>
      <c r="G340" s="16"/>
      <c r="H340" s="11" t="str">
        <f>IF(OR($A340="",$F340=""),"",IF($D340="Done",0,MAX(0,Overview!$B$3-$F340)))</f>
        <v/>
      </c>
    </row>
    <row r="341" spans="6:8" x14ac:dyDescent="0.25">
      <c r="F341" s="16"/>
      <c r="G341" s="16"/>
      <c r="H341" s="11" t="str">
        <f>IF(OR($A341="",$F341=""),"",IF($D341="Done",0,MAX(0,Overview!$B$3-$F341)))</f>
        <v/>
      </c>
    </row>
    <row r="342" spans="6:8" x14ac:dyDescent="0.25">
      <c r="F342" s="16"/>
      <c r="G342" s="16"/>
      <c r="H342" s="11" t="str">
        <f>IF(OR($A342="",$F342=""),"",IF($D342="Done",0,MAX(0,Overview!$B$3-$F342)))</f>
        <v/>
      </c>
    </row>
    <row r="343" spans="6:8" x14ac:dyDescent="0.25">
      <c r="F343" s="16"/>
      <c r="G343" s="16"/>
      <c r="H343" s="11" t="str">
        <f>IF(OR($A343="",$F343=""),"",IF($D343="Done",0,MAX(0,Overview!$B$3-$F343)))</f>
        <v/>
      </c>
    </row>
    <row r="344" spans="6:8" x14ac:dyDescent="0.25">
      <c r="F344" s="16"/>
      <c r="G344" s="16"/>
      <c r="H344" s="11" t="str">
        <f>IF(OR($A344="",$F344=""),"",IF($D344="Done",0,MAX(0,Overview!$B$3-$F344)))</f>
        <v/>
      </c>
    </row>
    <row r="345" spans="6:8" x14ac:dyDescent="0.25">
      <c r="F345" s="16"/>
      <c r="G345" s="16"/>
      <c r="H345" s="11" t="str">
        <f>IF(OR($A345="",$F345=""),"",IF($D345="Done",0,MAX(0,Overview!$B$3-$F345)))</f>
        <v/>
      </c>
    </row>
    <row r="346" spans="6:8" x14ac:dyDescent="0.25">
      <c r="F346" s="16"/>
      <c r="G346" s="16"/>
      <c r="H346" s="11" t="str">
        <f>IF(OR($A346="",$F346=""),"",IF($D346="Done",0,MAX(0,Overview!$B$3-$F346)))</f>
        <v/>
      </c>
    </row>
    <row r="347" spans="6:8" x14ac:dyDescent="0.25">
      <c r="F347" s="16"/>
      <c r="G347" s="16"/>
      <c r="H347" s="11" t="str">
        <f>IF(OR($A347="",$F347=""),"",IF($D347="Done",0,MAX(0,Overview!$B$3-$F347)))</f>
        <v/>
      </c>
    </row>
    <row r="348" spans="6:8" x14ac:dyDescent="0.25">
      <c r="F348" s="16"/>
      <c r="G348" s="16"/>
      <c r="H348" s="11" t="str">
        <f>IF(OR($A348="",$F348=""),"",IF($D348="Done",0,MAX(0,Overview!$B$3-$F348)))</f>
        <v/>
      </c>
    </row>
    <row r="349" spans="6:8" x14ac:dyDescent="0.25">
      <c r="F349" s="16"/>
      <c r="G349" s="16"/>
      <c r="H349" s="11" t="str">
        <f>IF(OR($A349="",$F349=""),"",IF($D349="Done",0,MAX(0,Overview!$B$3-$F349)))</f>
        <v/>
      </c>
    </row>
    <row r="350" spans="6:8" x14ac:dyDescent="0.25">
      <c r="F350" s="16"/>
      <c r="G350" s="16"/>
      <c r="H350" s="11" t="str">
        <f>IF(OR($A350="",$F350=""),"",IF($D350="Done",0,MAX(0,Overview!$B$3-$F350)))</f>
        <v/>
      </c>
    </row>
    <row r="351" spans="6:8" x14ac:dyDescent="0.25">
      <c r="F351" s="16"/>
      <c r="G351" s="16"/>
      <c r="H351" s="11" t="str">
        <f>IF(OR($A351="",$F351=""),"",IF($D351="Done",0,MAX(0,Overview!$B$3-$F351)))</f>
        <v/>
      </c>
    </row>
    <row r="352" spans="6:8" x14ac:dyDescent="0.25">
      <c r="F352" s="16"/>
      <c r="G352" s="16"/>
      <c r="H352" s="11" t="str">
        <f>IF(OR($A352="",$F352=""),"",IF($D352="Done",0,MAX(0,Overview!$B$3-$F352)))</f>
        <v/>
      </c>
    </row>
    <row r="353" spans="6:8" x14ac:dyDescent="0.25">
      <c r="F353" s="16"/>
      <c r="G353" s="16"/>
      <c r="H353" s="11" t="str">
        <f>IF(OR($A353="",$F353=""),"",IF($D353="Done",0,MAX(0,Overview!$B$3-$F353)))</f>
        <v/>
      </c>
    </row>
    <row r="354" spans="6:8" x14ac:dyDescent="0.25">
      <c r="F354" s="16"/>
      <c r="G354" s="16"/>
      <c r="H354" s="11" t="str">
        <f>IF(OR($A354="",$F354=""),"",IF($D354="Done",0,MAX(0,Overview!$B$3-$F354)))</f>
        <v/>
      </c>
    </row>
    <row r="355" spans="6:8" x14ac:dyDescent="0.25">
      <c r="F355" s="16"/>
      <c r="G355" s="16"/>
      <c r="H355" s="11" t="str">
        <f>IF(OR($A355="",$F355=""),"",IF($D355="Done",0,MAX(0,Overview!$B$3-$F355)))</f>
        <v/>
      </c>
    </row>
    <row r="356" spans="6:8" x14ac:dyDescent="0.25">
      <c r="F356" s="16"/>
      <c r="G356" s="16"/>
      <c r="H356" s="11" t="str">
        <f>IF(OR($A356="",$F356=""),"",IF($D356="Done",0,MAX(0,Overview!$B$3-$F356)))</f>
        <v/>
      </c>
    </row>
    <row r="357" spans="6:8" x14ac:dyDescent="0.25">
      <c r="F357" s="16"/>
      <c r="G357" s="16"/>
      <c r="H357" s="11" t="str">
        <f>IF(OR($A357="",$F357=""),"",IF($D357="Done",0,MAX(0,Overview!$B$3-$F357)))</f>
        <v/>
      </c>
    </row>
    <row r="358" spans="6:8" x14ac:dyDescent="0.25">
      <c r="F358" s="16"/>
      <c r="G358" s="16"/>
      <c r="H358" s="11" t="str">
        <f>IF(OR($A358="",$F358=""),"",IF($D358="Done",0,MAX(0,Overview!$B$3-$F358)))</f>
        <v/>
      </c>
    </row>
    <row r="359" spans="6:8" x14ac:dyDescent="0.25">
      <c r="F359" s="16"/>
      <c r="G359" s="16"/>
      <c r="H359" s="11" t="str">
        <f>IF(OR($A359="",$F359=""),"",IF($D359="Done",0,MAX(0,Overview!$B$3-$F359)))</f>
        <v/>
      </c>
    </row>
    <row r="360" spans="6:8" x14ac:dyDescent="0.25">
      <c r="F360" s="16"/>
      <c r="G360" s="16"/>
      <c r="H360" s="11" t="str">
        <f>IF(OR($A360="",$F360=""),"",IF($D360="Done",0,MAX(0,Overview!$B$3-$F360)))</f>
        <v/>
      </c>
    </row>
    <row r="361" spans="6:8" x14ac:dyDescent="0.25">
      <c r="F361" s="16"/>
      <c r="G361" s="16"/>
      <c r="H361" s="11" t="str">
        <f>IF(OR($A361="",$F361=""),"",IF($D361="Done",0,MAX(0,Overview!$B$3-$F361)))</f>
        <v/>
      </c>
    </row>
    <row r="362" spans="6:8" x14ac:dyDescent="0.25">
      <c r="F362" s="16"/>
      <c r="G362" s="16"/>
      <c r="H362" s="11" t="str">
        <f>IF(OR($A362="",$F362=""),"",IF($D362="Done",0,MAX(0,Overview!$B$3-$F362)))</f>
        <v/>
      </c>
    </row>
    <row r="363" spans="6:8" x14ac:dyDescent="0.25">
      <c r="F363" s="16"/>
      <c r="G363" s="16"/>
      <c r="H363" s="11" t="str">
        <f>IF(OR($A363="",$F363=""),"",IF($D363="Done",0,MAX(0,Overview!$B$3-$F363)))</f>
        <v/>
      </c>
    </row>
    <row r="364" spans="6:8" x14ac:dyDescent="0.25">
      <c r="F364" s="16"/>
      <c r="G364" s="16"/>
      <c r="H364" s="11" t="str">
        <f>IF(OR($A364="",$F364=""),"",IF($D364="Done",0,MAX(0,Overview!$B$3-$F364)))</f>
        <v/>
      </c>
    </row>
    <row r="365" spans="6:8" x14ac:dyDescent="0.25">
      <c r="F365" s="16"/>
      <c r="G365" s="16"/>
      <c r="H365" s="11" t="str">
        <f>IF(OR($A365="",$F365=""),"",IF($D365="Done",0,MAX(0,Overview!$B$3-$F365)))</f>
        <v/>
      </c>
    </row>
    <row r="366" spans="6:8" x14ac:dyDescent="0.25">
      <c r="F366" s="16"/>
      <c r="G366" s="16"/>
      <c r="H366" s="11" t="str">
        <f>IF(OR($A366="",$F366=""),"",IF($D366="Done",0,MAX(0,Overview!$B$3-$F366)))</f>
        <v/>
      </c>
    </row>
    <row r="367" spans="6:8" x14ac:dyDescent="0.25">
      <c r="F367" s="16"/>
      <c r="G367" s="16"/>
      <c r="H367" s="11" t="str">
        <f>IF(OR($A367="",$F367=""),"",IF($D367="Done",0,MAX(0,Overview!$B$3-$F367)))</f>
        <v/>
      </c>
    </row>
    <row r="368" spans="6:8" x14ac:dyDescent="0.25">
      <c r="F368" s="16"/>
      <c r="G368" s="16"/>
      <c r="H368" s="11" t="str">
        <f>IF(OR($A368="",$F368=""),"",IF($D368="Done",0,MAX(0,Overview!$B$3-$F368)))</f>
        <v/>
      </c>
    </row>
    <row r="369" spans="6:8" x14ac:dyDescent="0.25">
      <c r="F369" s="16"/>
      <c r="G369" s="16"/>
      <c r="H369" s="11" t="str">
        <f>IF(OR($A369="",$F369=""),"",IF($D369="Done",0,MAX(0,Overview!$B$3-$F369)))</f>
        <v/>
      </c>
    </row>
    <row r="370" spans="6:8" x14ac:dyDescent="0.25">
      <c r="F370" s="16"/>
      <c r="G370" s="16"/>
      <c r="H370" s="11" t="str">
        <f>IF(OR($A370="",$F370=""),"",IF($D370="Done",0,MAX(0,Overview!$B$3-$F370)))</f>
        <v/>
      </c>
    </row>
    <row r="371" spans="6:8" x14ac:dyDescent="0.25">
      <c r="F371" s="16"/>
      <c r="G371" s="16"/>
      <c r="H371" s="11" t="str">
        <f>IF(OR($A371="",$F371=""),"",IF($D371="Done",0,MAX(0,Overview!$B$3-$F371)))</f>
        <v/>
      </c>
    </row>
    <row r="372" spans="6:8" x14ac:dyDescent="0.25">
      <c r="F372" s="16"/>
      <c r="G372" s="16"/>
      <c r="H372" s="11" t="str">
        <f>IF(OR($A372="",$F372=""),"",IF($D372="Done",0,MAX(0,Overview!$B$3-$F372)))</f>
        <v/>
      </c>
    </row>
    <row r="373" spans="6:8" x14ac:dyDescent="0.25">
      <c r="F373" s="16"/>
      <c r="G373" s="16"/>
      <c r="H373" s="11" t="str">
        <f>IF(OR($A373="",$F373=""),"",IF($D373="Done",0,MAX(0,Overview!$B$3-$F373)))</f>
        <v/>
      </c>
    </row>
    <row r="374" spans="6:8" x14ac:dyDescent="0.25">
      <c r="F374" s="16"/>
      <c r="G374" s="16"/>
      <c r="H374" s="11" t="str">
        <f>IF(OR($A374="",$F374=""),"",IF($D374="Done",0,MAX(0,Overview!$B$3-$F374)))</f>
        <v/>
      </c>
    </row>
    <row r="375" spans="6:8" x14ac:dyDescent="0.25">
      <c r="F375" s="16"/>
      <c r="G375" s="16"/>
      <c r="H375" s="11" t="str">
        <f>IF(OR($A375="",$F375=""),"",IF($D375="Done",0,MAX(0,Overview!$B$3-$F375)))</f>
        <v/>
      </c>
    </row>
    <row r="376" spans="6:8" x14ac:dyDescent="0.25">
      <c r="F376" s="16"/>
      <c r="G376" s="16"/>
      <c r="H376" s="11" t="str">
        <f>IF(OR($A376="",$F376=""),"",IF($D376="Done",0,MAX(0,Overview!$B$3-$F376)))</f>
        <v/>
      </c>
    </row>
    <row r="377" spans="6:8" x14ac:dyDescent="0.25">
      <c r="F377" s="16"/>
      <c r="G377" s="16"/>
      <c r="H377" s="11" t="str">
        <f>IF(OR($A377="",$F377=""),"",IF($D377="Done",0,MAX(0,Overview!$B$3-$F377)))</f>
        <v/>
      </c>
    </row>
    <row r="378" spans="6:8" x14ac:dyDescent="0.25">
      <c r="F378" s="16"/>
      <c r="G378" s="16"/>
      <c r="H378" s="11" t="str">
        <f>IF(OR($A378="",$F378=""),"",IF($D378="Done",0,MAX(0,Overview!$B$3-$F378)))</f>
        <v/>
      </c>
    </row>
    <row r="379" spans="6:8" x14ac:dyDescent="0.25">
      <c r="F379" s="16"/>
      <c r="G379" s="16"/>
      <c r="H379" s="11" t="str">
        <f>IF(OR($A379="",$F379=""),"",IF($D379="Done",0,MAX(0,Overview!$B$3-$F379)))</f>
        <v/>
      </c>
    </row>
    <row r="380" spans="6:8" x14ac:dyDescent="0.25">
      <c r="F380" s="16"/>
      <c r="G380" s="16"/>
      <c r="H380" s="11" t="str">
        <f>IF(OR($A380="",$F380=""),"",IF($D380="Done",0,MAX(0,Overview!$B$3-$F380)))</f>
        <v/>
      </c>
    </row>
    <row r="381" spans="6:8" x14ac:dyDescent="0.25">
      <c r="F381" s="16"/>
      <c r="G381" s="16"/>
      <c r="H381" s="11" t="str">
        <f>IF(OR($A381="",$F381=""),"",IF($D381="Done",0,MAX(0,Overview!$B$3-$F381)))</f>
        <v/>
      </c>
    </row>
    <row r="382" spans="6:8" x14ac:dyDescent="0.25">
      <c r="F382" s="16"/>
      <c r="G382" s="16"/>
      <c r="H382" s="11" t="str">
        <f>IF(OR($A382="",$F382=""),"",IF($D382="Done",0,MAX(0,Overview!$B$3-$F382)))</f>
        <v/>
      </c>
    </row>
    <row r="383" spans="6:8" x14ac:dyDescent="0.25">
      <c r="F383" s="16"/>
      <c r="G383" s="16"/>
      <c r="H383" s="11" t="str">
        <f>IF(OR($A383="",$F383=""),"",IF($D383="Done",0,MAX(0,Overview!$B$3-$F383)))</f>
        <v/>
      </c>
    </row>
    <row r="384" spans="6:8" x14ac:dyDescent="0.25">
      <c r="F384" s="16"/>
      <c r="G384" s="16"/>
      <c r="H384" s="11" t="str">
        <f>IF(OR($A384="",$F384=""),"",IF($D384="Done",0,MAX(0,Overview!$B$3-$F384)))</f>
        <v/>
      </c>
    </row>
    <row r="385" spans="6:8" x14ac:dyDescent="0.25">
      <c r="F385" s="16"/>
      <c r="G385" s="16"/>
      <c r="H385" s="11" t="str">
        <f>IF(OR($A385="",$F385=""),"",IF($D385="Done",0,MAX(0,Overview!$B$3-$F385)))</f>
        <v/>
      </c>
    </row>
    <row r="386" spans="6:8" x14ac:dyDescent="0.25">
      <c r="F386" s="16"/>
      <c r="G386" s="16"/>
      <c r="H386" s="11" t="str">
        <f>IF(OR($A386="",$F386=""),"",IF($D386="Done",0,MAX(0,Overview!$B$3-$F386)))</f>
        <v/>
      </c>
    </row>
    <row r="387" spans="6:8" x14ac:dyDescent="0.25">
      <c r="F387" s="16"/>
      <c r="G387" s="16"/>
      <c r="H387" s="11" t="str">
        <f>IF(OR($A387="",$F387=""),"",IF($D387="Done",0,MAX(0,Overview!$B$3-$F387)))</f>
        <v/>
      </c>
    </row>
    <row r="388" spans="6:8" x14ac:dyDescent="0.25">
      <c r="F388" s="16"/>
      <c r="G388" s="16"/>
      <c r="H388" s="11" t="str">
        <f>IF(OR($A388="",$F388=""),"",IF($D388="Done",0,MAX(0,Overview!$B$3-$F388)))</f>
        <v/>
      </c>
    </row>
    <row r="389" spans="6:8" x14ac:dyDescent="0.25">
      <c r="F389" s="16"/>
      <c r="G389" s="16"/>
      <c r="H389" s="11" t="str">
        <f>IF(OR($A389="",$F389=""),"",IF($D389="Done",0,MAX(0,Overview!$B$3-$F389)))</f>
        <v/>
      </c>
    </row>
    <row r="390" spans="6:8" x14ac:dyDescent="0.25">
      <c r="F390" s="16"/>
      <c r="G390" s="16"/>
      <c r="H390" s="11" t="str">
        <f>IF(OR($A390="",$F390=""),"",IF($D390="Done",0,MAX(0,Overview!$B$3-$F390)))</f>
        <v/>
      </c>
    </row>
    <row r="391" spans="6:8" x14ac:dyDescent="0.25">
      <c r="F391" s="16"/>
      <c r="G391" s="16"/>
      <c r="H391" s="11" t="str">
        <f>IF(OR($A391="",$F391=""),"",IF($D391="Done",0,MAX(0,Overview!$B$3-$F391)))</f>
        <v/>
      </c>
    </row>
    <row r="392" spans="6:8" x14ac:dyDescent="0.25">
      <c r="F392" s="16"/>
      <c r="G392" s="16"/>
      <c r="H392" s="11" t="str">
        <f>IF(OR($A392="",$F392=""),"",IF($D392="Done",0,MAX(0,Overview!$B$3-$F392)))</f>
        <v/>
      </c>
    </row>
    <row r="393" spans="6:8" x14ac:dyDescent="0.25">
      <c r="F393" s="16"/>
      <c r="G393" s="16"/>
      <c r="H393" s="11" t="str">
        <f>IF(OR($A393="",$F393=""),"",IF($D393="Done",0,MAX(0,Overview!$B$3-$F393)))</f>
        <v/>
      </c>
    </row>
    <row r="394" spans="6:8" x14ac:dyDescent="0.25">
      <c r="F394" s="16"/>
      <c r="G394" s="16"/>
      <c r="H394" s="11" t="str">
        <f>IF(OR($A394="",$F394=""),"",IF($D394="Done",0,MAX(0,Overview!$B$3-$F394)))</f>
        <v/>
      </c>
    </row>
    <row r="395" spans="6:8" x14ac:dyDescent="0.25">
      <c r="F395" s="16"/>
      <c r="G395" s="16"/>
      <c r="H395" s="11" t="str">
        <f>IF(OR($A395="",$F395=""),"",IF($D395="Done",0,MAX(0,Overview!$B$3-$F395)))</f>
        <v/>
      </c>
    </row>
    <row r="396" spans="6:8" x14ac:dyDescent="0.25">
      <c r="F396" s="16"/>
      <c r="G396" s="16"/>
      <c r="H396" s="11" t="str">
        <f>IF(OR($A396="",$F396=""),"",IF($D396="Done",0,MAX(0,Overview!$B$3-$F396)))</f>
        <v/>
      </c>
    </row>
    <row r="397" spans="6:8" x14ac:dyDescent="0.25">
      <c r="F397" s="16"/>
      <c r="G397" s="16"/>
      <c r="H397" s="11" t="str">
        <f>IF(OR($A397="",$F397=""),"",IF($D397="Done",0,MAX(0,Overview!$B$3-$F397)))</f>
        <v/>
      </c>
    </row>
    <row r="398" spans="6:8" x14ac:dyDescent="0.25">
      <c r="F398" s="16"/>
      <c r="G398" s="16"/>
      <c r="H398" s="11" t="str">
        <f>IF(OR($A398="",$F398=""),"",IF($D398="Done",0,MAX(0,Overview!$B$3-$F398)))</f>
        <v/>
      </c>
    </row>
    <row r="399" spans="6:8" x14ac:dyDescent="0.25">
      <c r="F399" s="16"/>
      <c r="G399" s="16"/>
      <c r="H399" s="11" t="str">
        <f>IF(OR($A399="",$F399=""),"",IF($D399="Done",0,MAX(0,Overview!$B$3-$F399)))</f>
        <v/>
      </c>
    </row>
    <row r="400" spans="6:8" x14ac:dyDescent="0.25">
      <c r="F400" s="16"/>
      <c r="G400" s="16"/>
      <c r="H400" s="11" t="str">
        <f>IF(OR($A400="",$F400=""),"",IF($D400="Done",0,MAX(0,Overview!$B$3-$F400)))</f>
        <v/>
      </c>
    </row>
    <row r="401" spans="6:8" x14ac:dyDescent="0.25">
      <c r="F401" s="16"/>
      <c r="G401" s="16"/>
      <c r="H401" s="11" t="str">
        <f>IF(OR($A401="",$F401=""),"",IF($D401="Done",0,MAX(0,Overview!$B$3-$F401)))</f>
        <v/>
      </c>
    </row>
    <row r="402" spans="6:8" x14ac:dyDescent="0.25">
      <c r="F402" s="16"/>
      <c r="G402" s="16"/>
      <c r="H402" s="11" t="str">
        <f>IF(OR($A402="",$F402=""),"",IF($D402="Done",0,MAX(0,Overview!$B$3-$F402)))</f>
        <v/>
      </c>
    </row>
    <row r="403" spans="6:8" x14ac:dyDescent="0.25">
      <c r="F403" s="16"/>
      <c r="G403" s="16"/>
      <c r="H403" s="11" t="str">
        <f>IF(OR($A403="",$F403=""),"",IF($D403="Done",0,MAX(0,Overview!$B$3-$F403)))</f>
        <v/>
      </c>
    </row>
    <row r="404" spans="6:8" x14ac:dyDescent="0.25">
      <c r="F404" s="16"/>
      <c r="G404" s="16"/>
      <c r="H404" s="11" t="str">
        <f>IF(OR($A404="",$F404=""),"",IF($D404="Done",0,MAX(0,Overview!$B$3-$F404)))</f>
        <v/>
      </c>
    </row>
    <row r="405" spans="6:8" x14ac:dyDescent="0.25">
      <c r="F405" s="16"/>
      <c r="G405" s="16"/>
      <c r="H405" s="11" t="str">
        <f>IF(OR($A405="",$F405=""),"",IF($D405="Done",0,MAX(0,Overview!$B$3-$F405)))</f>
        <v/>
      </c>
    </row>
    <row r="406" spans="6:8" x14ac:dyDescent="0.25">
      <c r="F406" s="16"/>
      <c r="G406" s="16"/>
      <c r="H406" s="11" t="str">
        <f>IF(OR($A406="",$F406=""),"",IF($D406="Done",0,MAX(0,Overview!$B$3-$F406)))</f>
        <v/>
      </c>
    </row>
    <row r="407" spans="6:8" x14ac:dyDescent="0.25">
      <c r="F407" s="16"/>
      <c r="G407" s="16"/>
      <c r="H407" s="11" t="str">
        <f>IF(OR($A407="",$F407=""),"",IF($D407="Done",0,MAX(0,Overview!$B$3-$F407)))</f>
        <v/>
      </c>
    </row>
    <row r="408" spans="6:8" x14ac:dyDescent="0.25">
      <c r="F408" s="16"/>
      <c r="G408" s="16"/>
      <c r="H408" s="11" t="str">
        <f>IF(OR($A408="",$F408=""),"",IF($D408="Done",0,MAX(0,Overview!$B$3-$F408)))</f>
        <v/>
      </c>
    </row>
    <row r="409" spans="6:8" x14ac:dyDescent="0.25">
      <c r="F409" s="16"/>
      <c r="G409" s="16"/>
      <c r="H409" s="11" t="str">
        <f>IF(OR($A409="",$F409=""),"",IF($D409="Done",0,MAX(0,Overview!$B$3-$F409)))</f>
        <v/>
      </c>
    </row>
    <row r="410" spans="6:8" x14ac:dyDescent="0.25">
      <c r="F410" s="16"/>
      <c r="G410" s="16"/>
      <c r="H410" s="11" t="str">
        <f>IF(OR($A410="",$F410=""),"",IF($D410="Done",0,MAX(0,Overview!$B$3-$F410)))</f>
        <v/>
      </c>
    </row>
    <row r="411" spans="6:8" x14ac:dyDescent="0.25">
      <c r="F411" s="16"/>
      <c r="G411" s="16"/>
      <c r="H411" s="11" t="str">
        <f>IF(OR($A411="",$F411=""),"",IF($D411="Done",0,MAX(0,Overview!$B$3-$F411)))</f>
        <v/>
      </c>
    </row>
    <row r="412" spans="6:8" x14ac:dyDescent="0.25">
      <c r="F412" s="16"/>
      <c r="G412" s="16"/>
      <c r="H412" s="11" t="str">
        <f>IF(OR($A412="",$F412=""),"",IF($D412="Done",0,MAX(0,Overview!$B$3-$F412)))</f>
        <v/>
      </c>
    </row>
    <row r="413" spans="6:8" x14ac:dyDescent="0.25">
      <c r="F413" s="16"/>
      <c r="G413" s="16"/>
      <c r="H413" s="11" t="str">
        <f>IF(OR($A413="",$F413=""),"",IF($D413="Done",0,MAX(0,Overview!$B$3-$F413)))</f>
        <v/>
      </c>
    </row>
    <row r="414" spans="6:8" x14ac:dyDescent="0.25">
      <c r="F414" s="16"/>
      <c r="G414" s="16"/>
      <c r="H414" s="11" t="str">
        <f>IF(OR($A414="",$F414=""),"",IF($D414="Done",0,MAX(0,Overview!$B$3-$F414)))</f>
        <v/>
      </c>
    </row>
    <row r="415" spans="6:8" x14ac:dyDescent="0.25">
      <c r="F415" s="16"/>
      <c r="G415" s="16"/>
      <c r="H415" s="11" t="str">
        <f>IF(OR($A415="",$F415=""),"",IF($D415="Done",0,MAX(0,Overview!$B$3-$F415)))</f>
        <v/>
      </c>
    </row>
    <row r="416" spans="6:8" x14ac:dyDescent="0.25">
      <c r="F416" s="16"/>
      <c r="G416" s="16"/>
      <c r="H416" s="11" t="str">
        <f>IF(OR($A416="",$F416=""),"",IF($D416="Done",0,MAX(0,Overview!$B$3-$F416)))</f>
        <v/>
      </c>
    </row>
    <row r="417" spans="6:8" x14ac:dyDescent="0.25">
      <c r="F417" s="16"/>
      <c r="G417" s="16"/>
      <c r="H417" s="11" t="str">
        <f>IF(OR($A417="",$F417=""),"",IF($D417="Done",0,MAX(0,Overview!$B$3-$F417)))</f>
        <v/>
      </c>
    </row>
    <row r="418" spans="6:8" x14ac:dyDescent="0.25">
      <c r="F418" s="16"/>
      <c r="G418" s="16"/>
      <c r="H418" s="11" t="str">
        <f>IF(OR($A418="",$F418=""),"",IF($D418="Done",0,MAX(0,Overview!$B$3-$F418)))</f>
        <v/>
      </c>
    </row>
    <row r="419" spans="6:8" x14ac:dyDescent="0.25">
      <c r="F419" s="16"/>
      <c r="G419" s="16"/>
      <c r="H419" s="11" t="str">
        <f>IF(OR($A419="",$F419=""),"",IF($D419="Done",0,MAX(0,Overview!$B$3-$F419)))</f>
        <v/>
      </c>
    </row>
    <row r="420" spans="6:8" x14ac:dyDescent="0.25">
      <c r="F420" s="16"/>
      <c r="G420" s="16"/>
      <c r="H420" s="11" t="str">
        <f>IF(OR($A420="",$F420=""),"",IF($D420="Done",0,MAX(0,Overview!$B$3-$F420)))</f>
        <v/>
      </c>
    </row>
    <row r="421" spans="6:8" x14ac:dyDescent="0.25">
      <c r="F421" s="16"/>
      <c r="G421" s="16"/>
      <c r="H421" s="11" t="str">
        <f>IF(OR($A421="",$F421=""),"",IF($D421="Done",0,MAX(0,Overview!$B$3-$F421)))</f>
        <v/>
      </c>
    </row>
    <row r="422" spans="6:8" x14ac:dyDescent="0.25">
      <c r="F422" s="16"/>
      <c r="G422" s="16"/>
      <c r="H422" s="11" t="str">
        <f>IF(OR($A422="",$F422=""),"",IF($D422="Done",0,MAX(0,Overview!$B$3-$F422)))</f>
        <v/>
      </c>
    </row>
    <row r="423" spans="6:8" x14ac:dyDescent="0.25">
      <c r="F423" s="16"/>
      <c r="G423" s="16"/>
      <c r="H423" s="11" t="str">
        <f>IF(OR($A423="",$F423=""),"",IF($D423="Done",0,MAX(0,Overview!$B$3-$F423)))</f>
        <v/>
      </c>
    </row>
    <row r="424" spans="6:8" x14ac:dyDescent="0.25">
      <c r="F424" s="16"/>
      <c r="G424" s="16"/>
      <c r="H424" s="11" t="str">
        <f>IF(OR($A424="",$F424=""),"",IF($D424="Done",0,MAX(0,Overview!$B$3-$F424)))</f>
        <v/>
      </c>
    </row>
    <row r="425" spans="6:8" x14ac:dyDescent="0.25">
      <c r="F425" s="16"/>
      <c r="G425" s="16"/>
      <c r="H425" s="11" t="str">
        <f>IF(OR($A425="",$F425=""),"",IF($D425="Done",0,MAX(0,Overview!$B$3-$F425)))</f>
        <v/>
      </c>
    </row>
    <row r="426" spans="6:8" x14ac:dyDescent="0.25">
      <c r="F426" s="16"/>
      <c r="G426" s="16"/>
      <c r="H426" s="11" t="str">
        <f>IF(OR($A426="",$F426=""),"",IF($D426="Done",0,MAX(0,Overview!$B$3-$F426)))</f>
        <v/>
      </c>
    </row>
    <row r="427" spans="6:8" x14ac:dyDescent="0.25">
      <c r="F427" s="16"/>
      <c r="G427" s="16"/>
      <c r="H427" s="11" t="str">
        <f>IF(OR($A427="",$F427=""),"",IF($D427="Done",0,MAX(0,Overview!$B$3-$F427)))</f>
        <v/>
      </c>
    </row>
    <row r="428" spans="6:8" x14ac:dyDescent="0.25">
      <c r="F428" s="16"/>
      <c r="G428" s="16"/>
      <c r="H428" s="11" t="str">
        <f>IF(OR($A428="",$F428=""),"",IF($D428="Done",0,MAX(0,Overview!$B$3-$F428)))</f>
        <v/>
      </c>
    </row>
    <row r="429" spans="6:8" x14ac:dyDescent="0.25">
      <c r="F429" s="16"/>
      <c r="G429" s="16"/>
      <c r="H429" s="11" t="str">
        <f>IF(OR($A429="",$F429=""),"",IF($D429="Done",0,MAX(0,Overview!$B$3-$F429)))</f>
        <v/>
      </c>
    </row>
    <row r="430" spans="6:8" x14ac:dyDescent="0.25">
      <c r="F430" s="16"/>
      <c r="G430" s="16"/>
      <c r="H430" s="11" t="str">
        <f>IF(OR($A430="",$F430=""),"",IF($D430="Done",0,MAX(0,Overview!$B$3-$F430)))</f>
        <v/>
      </c>
    </row>
    <row r="431" spans="6:8" x14ac:dyDescent="0.25">
      <c r="F431" s="16"/>
      <c r="G431" s="16"/>
      <c r="H431" s="11" t="str">
        <f>IF(OR($A431="",$F431=""),"",IF($D431="Done",0,MAX(0,Overview!$B$3-$F431)))</f>
        <v/>
      </c>
    </row>
    <row r="432" spans="6:8" x14ac:dyDescent="0.25">
      <c r="F432" s="16"/>
      <c r="G432" s="16"/>
      <c r="H432" s="11" t="str">
        <f>IF(OR($A432="",$F432=""),"",IF($D432="Done",0,MAX(0,Overview!$B$3-$F432)))</f>
        <v/>
      </c>
    </row>
    <row r="433" spans="6:8" x14ac:dyDescent="0.25">
      <c r="F433" s="16"/>
      <c r="G433" s="16"/>
      <c r="H433" s="11" t="str">
        <f>IF(OR($A433="",$F433=""),"",IF($D433="Done",0,MAX(0,Overview!$B$3-$F433)))</f>
        <v/>
      </c>
    </row>
    <row r="434" spans="6:8" x14ac:dyDescent="0.25">
      <c r="F434" s="16"/>
      <c r="G434" s="16"/>
      <c r="H434" s="11" t="str">
        <f>IF(OR($A434="",$F434=""),"",IF($D434="Done",0,MAX(0,Overview!$B$3-$F434)))</f>
        <v/>
      </c>
    </row>
    <row r="435" spans="6:8" x14ac:dyDescent="0.25">
      <c r="F435" s="16"/>
      <c r="G435" s="16"/>
      <c r="H435" s="11" t="str">
        <f>IF(OR($A435="",$F435=""),"",IF($D435="Done",0,MAX(0,Overview!$B$3-$F435)))</f>
        <v/>
      </c>
    </row>
    <row r="436" spans="6:8" x14ac:dyDescent="0.25">
      <c r="F436" s="16"/>
      <c r="G436" s="16"/>
      <c r="H436" s="11" t="str">
        <f>IF(OR($A436="",$F436=""),"",IF($D436="Done",0,MAX(0,Overview!$B$3-$F436)))</f>
        <v/>
      </c>
    </row>
    <row r="437" spans="6:8" x14ac:dyDescent="0.25">
      <c r="F437" s="16"/>
      <c r="G437" s="16"/>
      <c r="H437" s="11" t="str">
        <f>IF(OR($A437="",$F437=""),"",IF($D437="Done",0,MAX(0,Overview!$B$3-$F437)))</f>
        <v/>
      </c>
    </row>
    <row r="438" spans="6:8" x14ac:dyDescent="0.25">
      <c r="F438" s="16"/>
      <c r="G438" s="16"/>
      <c r="H438" s="11" t="str">
        <f>IF(OR($A438="",$F438=""),"",IF($D438="Done",0,MAX(0,Overview!$B$3-$F438)))</f>
        <v/>
      </c>
    </row>
    <row r="439" spans="6:8" x14ac:dyDescent="0.25">
      <c r="F439" s="16"/>
      <c r="G439" s="16"/>
      <c r="H439" s="11" t="str">
        <f>IF(OR($A439="",$F439=""),"",IF($D439="Done",0,MAX(0,Overview!$B$3-$F439)))</f>
        <v/>
      </c>
    </row>
    <row r="440" spans="6:8" x14ac:dyDescent="0.25">
      <c r="F440" s="16"/>
      <c r="G440" s="16"/>
      <c r="H440" s="11" t="str">
        <f>IF(OR($A440="",$F440=""),"",IF($D440="Done",0,MAX(0,Overview!$B$3-$F440)))</f>
        <v/>
      </c>
    </row>
    <row r="441" spans="6:8" x14ac:dyDescent="0.25">
      <c r="F441" s="16"/>
      <c r="G441" s="16"/>
      <c r="H441" s="11" t="str">
        <f>IF(OR($A441="",$F441=""),"",IF($D441="Done",0,MAX(0,Overview!$B$3-$F441)))</f>
        <v/>
      </c>
    </row>
    <row r="442" spans="6:8" x14ac:dyDescent="0.25">
      <c r="F442" s="16"/>
      <c r="G442" s="16"/>
      <c r="H442" s="11" t="str">
        <f>IF(OR($A442="",$F442=""),"",IF($D442="Done",0,MAX(0,Overview!$B$3-$F442)))</f>
        <v/>
      </c>
    </row>
    <row r="443" spans="6:8" x14ac:dyDescent="0.25">
      <c r="F443" s="16"/>
      <c r="G443" s="16"/>
      <c r="H443" s="11" t="str">
        <f>IF(OR($A443="",$F443=""),"",IF($D443="Done",0,MAX(0,Overview!$B$3-$F443)))</f>
        <v/>
      </c>
    </row>
    <row r="444" spans="6:8" x14ac:dyDescent="0.25">
      <c r="F444" s="16"/>
      <c r="G444" s="16"/>
      <c r="H444" s="11" t="str">
        <f>IF(OR($A444="",$F444=""),"",IF($D444="Done",0,MAX(0,Overview!$B$3-$F444)))</f>
        <v/>
      </c>
    </row>
    <row r="445" spans="6:8" x14ac:dyDescent="0.25">
      <c r="F445" s="16"/>
      <c r="G445" s="16"/>
      <c r="H445" s="11" t="str">
        <f>IF(OR($A445="",$F445=""),"",IF($D445="Done",0,MAX(0,Overview!$B$3-$F445)))</f>
        <v/>
      </c>
    </row>
    <row r="446" spans="6:8" x14ac:dyDescent="0.25">
      <c r="F446" s="16"/>
      <c r="G446" s="16"/>
      <c r="H446" s="11" t="str">
        <f>IF(OR($A446="",$F446=""),"",IF($D446="Done",0,MAX(0,Overview!$B$3-$F446)))</f>
        <v/>
      </c>
    </row>
    <row r="447" spans="6:8" x14ac:dyDescent="0.25">
      <c r="F447" s="16"/>
      <c r="G447" s="16"/>
      <c r="H447" s="11" t="str">
        <f>IF(OR($A447="",$F447=""),"",IF($D447="Done",0,MAX(0,Overview!$B$3-$F447)))</f>
        <v/>
      </c>
    </row>
    <row r="448" spans="6:8" x14ac:dyDescent="0.25">
      <c r="F448" s="16"/>
      <c r="G448" s="16"/>
      <c r="H448" s="11" t="str">
        <f>IF(OR($A448="",$F448=""),"",IF($D448="Done",0,MAX(0,Overview!$B$3-$F448)))</f>
        <v/>
      </c>
    </row>
    <row r="449" spans="6:8" x14ac:dyDescent="0.25">
      <c r="F449" s="16"/>
      <c r="G449" s="16"/>
      <c r="H449" s="11" t="str">
        <f>IF(OR($A449="",$F449=""),"",IF($D449="Done",0,MAX(0,Overview!$B$3-$F449)))</f>
        <v/>
      </c>
    </row>
    <row r="450" spans="6:8" x14ac:dyDescent="0.25">
      <c r="F450" s="16"/>
      <c r="G450" s="16"/>
      <c r="H450" s="11" t="str">
        <f>IF(OR($A450="",$F450=""),"",IF($D450="Done",0,MAX(0,Overview!$B$3-$F450)))</f>
        <v/>
      </c>
    </row>
    <row r="451" spans="6:8" x14ac:dyDescent="0.25">
      <c r="F451" s="16"/>
      <c r="G451" s="16"/>
      <c r="H451" s="11" t="str">
        <f>IF(OR($A451="",$F451=""),"",IF($D451="Done",0,MAX(0,Overview!$B$3-$F451)))</f>
        <v/>
      </c>
    </row>
    <row r="452" spans="6:8" x14ac:dyDescent="0.25">
      <c r="F452" s="16"/>
      <c r="G452" s="16"/>
      <c r="H452" s="11" t="str">
        <f>IF(OR($A452="",$F452=""),"",IF($D452="Done",0,MAX(0,Overview!$B$3-$F452)))</f>
        <v/>
      </c>
    </row>
    <row r="453" spans="6:8" x14ac:dyDescent="0.25">
      <c r="F453" s="16"/>
      <c r="G453" s="16"/>
      <c r="H453" s="11" t="str">
        <f>IF(OR($A453="",$F453=""),"",IF($D453="Done",0,MAX(0,Overview!$B$3-$F453)))</f>
        <v/>
      </c>
    </row>
    <row r="454" spans="6:8" x14ac:dyDescent="0.25">
      <c r="F454" s="16"/>
      <c r="G454" s="16"/>
      <c r="H454" s="11" t="str">
        <f>IF(OR($A454="",$F454=""),"",IF($D454="Done",0,MAX(0,Overview!$B$3-$F454)))</f>
        <v/>
      </c>
    </row>
    <row r="455" spans="6:8" x14ac:dyDescent="0.25">
      <c r="F455" s="16"/>
      <c r="G455" s="16"/>
      <c r="H455" s="11" t="str">
        <f>IF(OR($A455="",$F455=""),"",IF($D455="Done",0,MAX(0,Overview!$B$3-$F455)))</f>
        <v/>
      </c>
    </row>
    <row r="456" spans="6:8" x14ac:dyDescent="0.25">
      <c r="F456" s="16"/>
      <c r="G456" s="16"/>
      <c r="H456" s="11" t="str">
        <f>IF(OR($A456="",$F456=""),"",IF($D456="Done",0,MAX(0,Overview!$B$3-$F456)))</f>
        <v/>
      </c>
    </row>
    <row r="457" spans="6:8" x14ac:dyDescent="0.25">
      <c r="F457" s="16"/>
      <c r="G457" s="16"/>
      <c r="H457" s="11" t="str">
        <f>IF(OR($A457="",$F457=""),"",IF($D457="Done",0,MAX(0,Overview!$B$3-$F457)))</f>
        <v/>
      </c>
    </row>
    <row r="458" spans="6:8" x14ac:dyDescent="0.25">
      <c r="F458" s="16"/>
      <c r="G458" s="16"/>
      <c r="H458" s="11" t="str">
        <f>IF(OR($A458="",$F458=""),"",IF($D458="Done",0,MAX(0,Overview!$B$3-$F458)))</f>
        <v/>
      </c>
    </row>
    <row r="459" spans="6:8" x14ac:dyDescent="0.25">
      <c r="F459" s="16"/>
      <c r="G459" s="16"/>
      <c r="H459" s="11" t="str">
        <f>IF(OR($A459="",$F459=""),"",IF($D459="Done",0,MAX(0,Overview!$B$3-$F459)))</f>
        <v/>
      </c>
    </row>
    <row r="460" spans="6:8" x14ac:dyDescent="0.25">
      <c r="F460" s="16"/>
      <c r="G460" s="16"/>
      <c r="H460" s="11" t="str">
        <f>IF(OR($A460="",$F460=""),"",IF($D460="Done",0,MAX(0,Overview!$B$3-$F460)))</f>
        <v/>
      </c>
    </row>
    <row r="461" spans="6:8" x14ac:dyDescent="0.25">
      <c r="F461" s="16"/>
      <c r="G461" s="16"/>
      <c r="H461" s="11" t="str">
        <f>IF(OR($A461="",$F461=""),"",IF($D461="Done",0,MAX(0,Overview!$B$3-$F461)))</f>
        <v/>
      </c>
    </row>
    <row r="462" spans="6:8" x14ac:dyDescent="0.25">
      <c r="F462" s="16"/>
      <c r="G462" s="16"/>
      <c r="H462" s="11" t="str">
        <f>IF(OR($A462="",$F462=""),"",IF($D462="Done",0,MAX(0,Overview!$B$3-$F462)))</f>
        <v/>
      </c>
    </row>
    <row r="463" spans="6:8" x14ac:dyDescent="0.25">
      <c r="F463" s="16"/>
      <c r="G463" s="16"/>
      <c r="H463" s="11" t="str">
        <f>IF(OR($A463="",$F463=""),"",IF($D463="Done",0,MAX(0,Overview!$B$3-$F463)))</f>
        <v/>
      </c>
    </row>
    <row r="464" spans="6:8" x14ac:dyDescent="0.25">
      <c r="F464" s="16"/>
      <c r="G464" s="16"/>
      <c r="H464" s="11" t="str">
        <f>IF(OR($A464="",$F464=""),"",IF($D464="Done",0,MAX(0,Overview!$B$3-$F464)))</f>
        <v/>
      </c>
    </row>
    <row r="465" spans="6:8" x14ac:dyDescent="0.25">
      <c r="F465" s="16"/>
      <c r="G465" s="16"/>
      <c r="H465" s="11" t="str">
        <f>IF(OR($A465="",$F465=""),"",IF($D465="Done",0,MAX(0,Overview!$B$3-$F465)))</f>
        <v/>
      </c>
    </row>
    <row r="466" spans="6:8" x14ac:dyDescent="0.25">
      <c r="F466" s="16"/>
      <c r="G466" s="16"/>
      <c r="H466" s="11" t="str">
        <f>IF(OR($A466="",$F466=""),"",IF($D466="Done",0,MAX(0,Overview!$B$3-$F466)))</f>
        <v/>
      </c>
    </row>
    <row r="467" spans="6:8" x14ac:dyDescent="0.25">
      <c r="F467" s="16"/>
      <c r="G467" s="16"/>
      <c r="H467" s="11" t="str">
        <f>IF(OR($A467="",$F467=""),"",IF($D467="Done",0,MAX(0,Overview!$B$3-$F467)))</f>
        <v/>
      </c>
    </row>
    <row r="468" spans="6:8" x14ac:dyDescent="0.25">
      <c r="F468" s="16"/>
      <c r="G468" s="16"/>
      <c r="H468" s="11" t="str">
        <f>IF(OR($A468="",$F468=""),"",IF($D468="Done",0,MAX(0,Overview!$B$3-$F468)))</f>
        <v/>
      </c>
    </row>
    <row r="469" spans="6:8" x14ac:dyDescent="0.25">
      <c r="F469" s="16"/>
      <c r="G469" s="16"/>
      <c r="H469" s="11" t="str">
        <f>IF(OR($A469="",$F469=""),"",IF($D469="Done",0,MAX(0,Overview!$B$3-$F469)))</f>
        <v/>
      </c>
    </row>
    <row r="470" spans="6:8" x14ac:dyDescent="0.25">
      <c r="F470" s="16"/>
      <c r="G470" s="16"/>
      <c r="H470" s="11" t="str">
        <f>IF(OR($A470="",$F470=""),"",IF($D470="Done",0,MAX(0,Overview!$B$3-$F470)))</f>
        <v/>
      </c>
    </row>
    <row r="471" spans="6:8" x14ac:dyDescent="0.25">
      <c r="F471" s="16"/>
      <c r="G471" s="16"/>
      <c r="H471" s="11" t="str">
        <f>IF(OR($A471="",$F471=""),"",IF($D471="Done",0,MAX(0,Overview!$B$3-$F471)))</f>
        <v/>
      </c>
    </row>
    <row r="472" spans="6:8" x14ac:dyDescent="0.25">
      <c r="F472" s="16"/>
      <c r="G472" s="16"/>
      <c r="H472" s="11" t="str">
        <f>IF(OR($A472="",$F472=""),"",IF($D472="Done",0,MAX(0,Overview!$B$3-$F472)))</f>
        <v/>
      </c>
    </row>
    <row r="473" spans="6:8" x14ac:dyDescent="0.25">
      <c r="F473" s="16"/>
      <c r="G473" s="16"/>
      <c r="H473" s="11" t="str">
        <f>IF(OR($A473="",$F473=""),"",IF($D473="Done",0,MAX(0,Overview!$B$3-$F473)))</f>
        <v/>
      </c>
    </row>
    <row r="474" spans="6:8" x14ac:dyDescent="0.25">
      <c r="F474" s="16"/>
      <c r="G474" s="16"/>
      <c r="H474" s="11" t="str">
        <f>IF(OR($A474="",$F474=""),"",IF($D474="Done",0,MAX(0,Overview!$B$3-$F474)))</f>
        <v/>
      </c>
    </row>
    <row r="475" spans="6:8" x14ac:dyDescent="0.25">
      <c r="F475" s="16"/>
      <c r="G475" s="16"/>
      <c r="H475" s="11" t="str">
        <f>IF(OR($A475="",$F475=""),"",IF($D475="Done",0,MAX(0,Overview!$B$3-$F475)))</f>
        <v/>
      </c>
    </row>
    <row r="476" spans="6:8" x14ac:dyDescent="0.25">
      <c r="F476" s="16"/>
      <c r="G476" s="16"/>
      <c r="H476" s="11" t="str">
        <f>IF(OR($A476="",$F476=""),"",IF($D476="Done",0,MAX(0,Overview!$B$3-$F476)))</f>
        <v/>
      </c>
    </row>
    <row r="477" spans="6:8" x14ac:dyDescent="0.25">
      <c r="F477" s="16"/>
      <c r="G477" s="16"/>
      <c r="H477" s="11" t="str">
        <f>IF(OR($A477="",$F477=""),"",IF($D477="Done",0,MAX(0,Overview!$B$3-$F477)))</f>
        <v/>
      </c>
    </row>
    <row r="478" spans="6:8" x14ac:dyDescent="0.25">
      <c r="F478" s="16"/>
      <c r="G478" s="16"/>
      <c r="H478" s="11" t="str">
        <f>IF(OR($A478="",$F478=""),"",IF($D478="Done",0,MAX(0,Overview!$B$3-$F478)))</f>
        <v/>
      </c>
    </row>
    <row r="479" spans="6:8" x14ac:dyDescent="0.25">
      <c r="F479" s="16"/>
      <c r="G479" s="16"/>
      <c r="H479" s="11" t="str">
        <f>IF(OR($A479="",$F479=""),"",IF($D479="Done",0,MAX(0,Overview!$B$3-$F479)))</f>
        <v/>
      </c>
    </row>
    <row r="480" spans="6:8" x14ac:dyDescent="0.25">
      <c r="F480" s="16"/>
      <c r="G480" s="16"/>
      <c r="H480" s="11" t="str">
        <f>IF(OR($A480="",$F480=""),"",IF($D480="Done",0,MAX(0,Overview!$B$3-$F480)))</f>
        <v/>
      </c>
    </row>
    <row r="481" spans="6:8" x14ac:dyDescent="0.25">
      <c r="F481" s="16"/>
      <c r="G481" s="16"/>
      <c r="H481" s="11" t="str">
        <f>IF(OR($A481="",$F481=""),"",IF($D481="Done",0,MAX(0,Overview!$B$3-$F481)))</f>
        <v/>
      </c>
    </row>
    <row r="482" spans="6:8" x14ac:dyDescent="0.25">
      <c r="F482" s="16"/>
      <c r="G482" s="16"/>
      <c r="H482" s="11" t="str">
        <f>IF(OR($A482="",$F482=""),"",IF($D482="Done",0,MAX(0,Overview!$B$3-$F482)))</f>
        <v/>
      </c>
    </row>
    <row r="483" spans="6:8" x14ac:dyDescent="0.25">
      <c r="F483" s="16"/>
      <c r="G483" s="16"/>
      <c r="H483" s="11" t="str">
        <f>IF(OR($A483="",$F483=""),"",IF($D483="Done",0,MAX(0,Overview!$B$3-$F483)))</f>
        <v/>
      </c>
    </row>
    <row r="484" spans="6:8" x14ac:dyDescent="0.25">
      <c r="F484" s="16"/>
      <c r="G484" s="16"/>
      <c r="H484" s="11" t="str">
        <f>IF(OR($A484="",$F484=""),"",IF($D484="Done",0,MAX(0,Overview!$B$3-$F484)))</f>
        <v/>
      </c>
    </row>
    <row r="485" spans="6:8" x14ac:dyDescent="0.25">
      <c r="F485" s="16"/>
      <c r="G485" s="16"/>
      <c r="H485" s="11" t="str">
        <f>IF(OR($A485="",$F485=""),"",IF($D485="Done",0,MAX(0,Overview!$B$3-$F485)))</f>
        <v/>
      </c>
    </row>
    <row r="486" spans="6:8" x14ac:dyDescent="0.25">
      <c r="F486" s="16"/>
      <c r="G486" s="16"/>
      <c r="H486" s="11" t="str">
        <f>IF(OR($A486="",$F486=""),"",IF($D486="Done",0,MAX(0,Overview!$B$3-$F486)))</f>
        <v/>
      </c>
    </row>
    <row r="487" spans="6:8" x14ac:dyDescent="0.25">
      <c r="F487" s="16"/>
      <c r="G487" s="16"/>
      <c r="H487" s="11" t="str">
        <f>IF(OR($A487="",$F487=""),"",IF($D487="Done",0,MAX(0,Overview!$B$3-$F487)))</f>
        <v/>
      </c>
    </row>
    <row r="488" spans="6:8" x14ac:dyDescent="0.25">
      <c r="F488" s="16"/>
      <c r="G488" s="16"/>
      <c r="H488" s="11" t="str">
        <f>IF(OR($A488="",$F488=""),"",IF($D488="Done",0,MAX(0,Overview!$B$3-$F488)))</f>
        <v/>
      </c>
    </row>
    <row r="489" spans="6:8" x14ac:dyDescent="0.25">
      <c r="F489" s="16"/>
      <c r="G489" s="16"/>
      <c r="H489" s="11" t="str">
        <f>IF(OR($A489="",$F489=""),"",IF($D489="Done",0,MAX(0,Overview!$B$3-$F489)))</f>
        <v/>
      </c>
    </row>
    <row r="490" spans="6:8" x14ac:dyDescent="0.25">
      <c r="F490" s="16"/>
      <c r="G490" s="16"/>
      <c r="H490" s="11" t="str">
        <f>IF(OR($A490="",$F490=""),"",IF($D490="Done",0,MAX(0,Overview!$B$3-$F490)))</f>
        <v/>
      </c>
    </row>
    <row r="491" spans="6:8" x14ac:dyDescent="0.25">
      <c r="F491" s="16"/>
      <c r="G491" s="16"/>
      <c r="H491" s="11" t="str">
        <f>IF(OR($A491="",$F491=""),"",IF($D491="Done",0,MAX(0,Overview!$B$3-$F491)))</f>
        <v/>
      </c>
    </row>
    <row r="492" spans="6:8" x14ac:dyDescent="0.25">
      <c r="F492" s="16"/>
      <c r="G492" s="16"/>
      <c r="H492" s="11" t="str">
        <f>IF(OR($A492="",$F492=""),"",IF($D492="Done",0,MAX(0,Overview!$B$3-$F492)))</f>
        <v/>
      </c>
    </row>
    <row r="493" spans="6:8" x14ac:dyDescent="0.25">
      <c r="F493" s="16"/>
      <c r="G493" s="16"/>
      <c r="H493" s="11" t="str">
        <f>IF(OR($A493="",$F493=""),"",IF($D493="Done",0,MAX(0,Overview!$B$3-$F493)))</f>
        <v/>
      </c>
    </row>
    <row r="494" spans="6:8" x14ac:dyDescent="0.25">
      <c r="F494" s="16"/>
      <c r="G494" s="16"/>
      <c r="H494" s="11" t="str">
        <f>IF(OR($A494="",$F494=""),"",IF($D494="Done",0,MAX(0,Overview!$B$3-$F494)))</f>
        <v/>
      </c>
    </row>
    <row r="495" spans="6:8" x14ac:dyDescent="0.25">
      <c r="F495" s="16"/>
      <c r="G495" s="16"/>
      <c r="H495" s="11" t="str">
        <f>IF(OR($A495="",$F495=""),"",IF($D495="Done",0,MAX(0,Overview!$B$3-$F495)))</f>
        <v/>
      </c>
    </row>
    <row r="496" spans="6:8" x14ac:dyDescent="0.25">
      <c r="F496" s="16"/>
      <c r="G496" s="16"/>
      <c r="H496" s="11" t="str">
        <f>IF(OR($A496="",$F496=""),"",IF($D496="Done",0,MAX(0,Overview!$B$3-$F496)))</f>
        <v/>
      </c>
    </row>
    <row r="497" spans="6:8" x14ac:dyDescent="0.25">
      <c r="F497" s="16"/>
      <c r="G497" s="16"/>
      <c r="H497" s="11" t="str">
        <f>IF(OR($A497="",$F497=""),"",IF($D497="Done",0,MAX(0,Overview!$B$3-$F497)))</f>
        <v/>
      </c>
    </row>
    <row r="498" spans="6:8" x14ac:dyDescent="0.25">
      <c r="F498" s="16"/>
      <c r="G498" s="16"/>
      <c r="H498" s="11" t="str">
        <f>IF(OR($A498="",$F498=""),"",IF($D498="Done",0,MAX(0,Overview!$B$3-$F498)))</f>
        <v/>
      </c>
    </row>
    <row r="499" spans="6:8" x14ac:dyDescent="0.25">
      <c r="F499" s="16"/>
      <c r="G499" s="16"/>
      <c r="H499" s="11" t="str">
        <f>IF(OR($A499="",$F499=""),"",IF($D499="Done",0,MAX(0,Overview!$B$3-$F499)))</f>
        <v/>
      </c>
    </row>
    <row r="500" spans="6:8" x14ac:dyDescent="0.25">
      <c r="F500" s="16"/>
      <c r="G500" s="16"/>
      <c r="H500" s="11" t="str">
        <f>IF(OR($A500="",$F500=""),"",IF($D500="Done",0,MAX(0,Overview!$B$3-$F500)))</f>
        <v/>
      </c>
    </row>
    <row r="501" spans="6:8" x14ac:dyDescent="0.25">
      <c r="F501" s="16"/>
      <c r="G501" s="16"/>
      <c r="H501" s="11" t="str">
        <f>IF(OR($A501="",$F501=""),"",IF($D501="Done",0,MAX(0,Overview!$B$3-$F501)))</f>
        <v/>
      </c>
    </row>
    <row r="502" spans="6:8" x14ac:dyDescent="0.25">
      <c r="F502" s="16"/>
      <c r="G502" s="16"/>
      <c r="H502" s="11" t="str">
        <f>IF(OR($A502="",$F502=""),"",IF($D502="Done",0,MAX(0,Overview!$B$3-$F502)))</f>
        <v/>
      </c>
    </row>
    <row r="503" spans="6:8" x14ac:dyDescent="0.25">
      <c r="F503" s="16"/>
      <c r="G503" s="16"/>
      <c r="H503" s="11" t="str">
        <f>IF(OR($A503="",$F503=""),"",IF($D503="Done",0,MAX(0,Overview!$B$3-$F503)))</f>
        <v/>
      </c>
    </row>
    <row r="504" spans="6:8" x14ac:dyDescent="0.25">
      <c r="F504" s="16"/>
      <c r="G504" s="16"/>
      <c r="H504" s="11" t="str">
        <f>IF(OR($A504="",$F504=""),"",IF($D504="Done",0,MAX(0,Overview!$B$3-$F504)))</f>
        <v/>
      </c>
    </row>
    <row r="505" spans="6:8" x14ac:dyDescent="0.25">
      <c r="F505" s="16"/>
      <c r="G505" s="16"/>
      <c r="H505" s="11" t="str">
        <f>IF(OR($A505="",$F505=""),"",IF($D505="Done",0,MAX(0,Overview!$B$3-$F505)))</f>
        <v/>
      </c>
    </row>
    <row r="506" spans="6:8" x14ac:dyDescent="0.25">
      <c r="F506" s="16"/>
      <c r="G506" s="16"/>
      <c r="H506" s="11" t="str">
        <f>IF(OR($A506="",$F506=""),"",IF($D506="Done",0,MAX(0,Overview!$B$3-$F506)))</f>
        <v/>
      </c>
    </row>
    <row r="507" spans="6:8" x14ac:dyDescent="0.25">
      <c r="F507" s="16"/>
      <c r="G507" s="16"/>
      <c r="H507" s="11" t="str">
        <f>IF(OR($A507="",$F507=""),"",IF($D507="Done",0,MAX(0,Overview!$B$3-$F507)))</f>
        <v/>
      </c>
    </row>
    <row r="508" spans="6:8" x14ac:dyDescent="0.25">
      <c r="F508" s="16"/>
      <c r="G508" s="16"/>
      <c r="H508" s="11" t="str">
        <f>IF(OR($A508="",$F508=""),"",IF($D508="Done",0,MAX(0,Overview!$B$3-$F508)))</f>
        <v/>
      </c>
    </row>
    <row r="509" spans="6:8" x14ac:dyDescent="0.25">
      <c r="F509" s="16"/>
      <c r="G509" s="16"/>
      <c r="H509" s="11" t="str">
        <f>IF(OR($A509="",$F509=""),"",IF($D509="Done",0,MAX(0,Overview!$B$3-$F509)))</f>
        <v/>
      </c>
    </row>
    <row r="510" spans="6:8" x14ac:dyDescent="0.25">
      <c r="F510" s="16"/>
      <c r="G510" s="16"/>
      <c r="H510" s="11" t="str">
        <f>IF(OR($A510="",$F510=""),"",IF($D510="Done",0,MAX(0,Overview!$B$3-$F510)))</f>
        <v/>
      </c>
    </row>
    <row r="511" spans="6:8" x14ac:dyDescent="0.25">
      <c r="F511" s="16"/>
      <c r="G511" s="16"/>
      <c r="H511" s="11" t="str">
        <f>IF(OR($A511="",$F511=""),"",IF($D511="Done",0,MAX(0,Overview!$B$3-$F511)))</f>
        <v/>
      </c>
    </row>
    <row r="512" spans="6:8" x14ac:dyDescent="0.25">
      <c r="F512" s="16"/>
      <c r="G512" s="16"/>
      <c r="H512" s="11" t="str">
        <f>IF(OR($A512="",$F512=""),"",IF($D512="Done",0,MAX(0,Overview!$B$3-$F512)))</f>
        <v/>
      </c>
    </row>
    <row r="513" spans="6:8" x14ac:dyDescent="0.25">
      <c r="F513" s="16"/>
      <c r="G513" s="16"/>
      <c r="H513" s="11" t="str">
        <f>IF(OR($A513="",$F513=""),"",IF($D513="Done",0,MAX(0,Overview!$B$3-$F513)))</f>
        <v/>
      </c>
    </row>
    <row r="514" spans="6:8" x14ac:dyDescent="0.25">
      <c r="F514" s="16"/>
      <c r="G514" s="16"/>
      <c r="H514" s="11" t="str">
        <f>IF(OR($A514="",$F514=""),"",IF($D514="Done",0,MAX(0,Overview!$B$3-$F514)))</f>
        <v/>
      </c>
    </row>
    <row r="515" spans="6:8" x14ac:dyDescent="0.25">
      <c r="F515" s="16"/>
      <c r="G515" s="16"/>
      <c r="H515" s="11" t="str">
        <f>IF(OR($A515="",$F515=""),"",IF($D515="Done",0,MAX(0,Overview!$B$3-$F515)))</f>
        <v/>
      </c>
    </row>
    <row r="516" spans="6:8" x14ac:dyDescent="0.25">
      <c r="F516" s="16"/>
      <c r="G516" s="16"/>
      <c r="H516" s="11" t="str">
        <f>IF(OR($A516="",$F516=""),"",IF($D516="Done",0,MAX(0,Overview!$B$3-$F516)))</f>
        <v/>
      </c>
    </row>
    <row r="517" spans="6:8" x14ac:dyDescent="0.25">
      <c r="F517" s="16"/>
      <c r="G517" s="16"/>
      <c r="H517" s="11" t="str">
        <f>IF(OR($A517="",$F517=""),"",IF($D517="Done",0,MAX(0,Overview!$B$3-$F517)))</f>
        <v/>
      </c>
    </row>
    <row r="518" spans="6:8" x14ac:dyDescent="0.25">
      <c r="F518" s="16"/>
      <c r="G518" s="16"/>
      <c r="H518" s="11" t="str">
        <f>IF(OR($A518="",$F518=""),"",IF($D518="Done",0,MAX(0,Overview!$B$3-$F518)))</f>
        <v/>
      </c>
    </row>
    <row r="519" spans="6:8" x14ac:dyDescent="0.25">
      <c r="F519" s="16"/>
      <c r="G519" s="16"/>
      <c r="H519" s="11" t="str">
        <f>IF(OR($A519="",$F519=""),"",IF($D519="Done",0,MAX(0,Overview!$B$3-$F519)))</f>
        <v/>
      </c>
    </row>
    <row r="520" spans="6:8" x14ac:dyDescent="0.25">
      <c r="F520" s="16"/>
      <c r="G520" s="16"/>
      <c r="H520" s="11" t="str">
        <f>IF(OR($A520="",$F520=""),"",IF($D520="Done",0,MAX(0,Overview!$B$3-$F520)))</f>
        <v/>
      </c>
    </row>
    <row r="521" spans="6:8" x14ac:dyDescent="0.25">
      <c r="F521" s="16"/>
      <c r="G521" s="16"/>
      <c r="H521" s="11" t="str">
        <f>IF(OR($A521="",$F521=""),"",IF($D521="Done",0,MAX(0,Overview!$B$3-$F521)))</f>
        <v/>
      </c>
    </row>
    <row r="522" spans="6:8" x14ac:dyDescent="0.25">
      <c r="F522" s="16"/>
      <c r="G522" s="16"/>
      <c r="H522" s="11" t="str">
        <f>IF(OR($A522="",$F522=""),"",IF($D522="Done",0,MAX(0,Overview!$B$3-$F522)))</f>
        <v/>
      </c>
    </row>
    <row r="523" spans="6:8" x14ac:dyDescent="0.25">
      <c r="F523" s="16"/>
      <c r="G523" s="16"/>
      <c r="H523" s="11" t="str">
        <f>IF(OR($A523="",$F523=""),"",IF($D523="Done",0,MAX(0,Overview!$B$3-$F523)))</f>
        <v/>
      </c>
    </row>
    <row r="524" spans="6:8" x14ac:dyDescent="0.25">
      <c r="F524" s="16"/>
      <c r="G524" s="16"/>
      <c r="H524" s="11" t="str">
        <f>IF(OR($A524="",$F524=""),"",IF($D524="Done",0,MAX(0,Overview!$B$3-$F524)))</f>
        <v/>
      </c>
    </row>
    <row r="525" spans="6:8" x14ac:dyDescent="0.25">
      <c r="F525" s="16"/>
      <c r="G525" s="16"/>
      <c r="H525" s="11" t="str">
        <f>IF(OR($A525="",$F525=""),"",IF($D525="Done",0,MAX(0,Overview!$B$3-$F525)))</f>
        <v/>
      </c>
    </row>
    <row r="526" spans="6:8" x14ac:dyDescent="0.25">
      <c r="F526" s="16"/>
      <c r="G526" s="16"/>
      <c r="H526" s="11" t="str">
        <f>IF(OR($A526="",$F526=""),"",IF($D526="Done",0,MAX(0,Overview!$B$3-$F526)))</f>
        <v/>
      </c>
    </row>
    <row r="527" spans="6:8" x14ac:dyDescent="0.25">
      <c r="F527" s="16"/>
      <c r="G527" s="16"/>
      <c r="H527" s="11" t="str">
        <f>IF(OR($A527="",$F527=""),"",IF($D527="Done",0,MAX(0,Overview!$B$3-$F527)))</f>
        <v/>
      </c>
    </row>
    <row r="528" spans="6:8" x14ac:dyDescent="0.25">
      <c r="F528" s="16"/>
      <c r="G528" s="16"/>
      <c r="H528" s="11" t="str">
        <f>IF(OR($A528="",$F528=""),"",IF($D528="Done",0,MAX(0,Overview!$B$3-$F528)))</f>
        <v/>
      </c>
    </row>
    <row r="529" spans="6:8" x14ac:dyDescent="0.25">
      <c r="F529" s="16"/>
      <c r="G529" s="16"/>
      <c r="H529" s="11" t="str">
        <f>IF(OR($A529="",$F529=""),"",IF($D529="Done",0,MAX(0,Overview!$B$3-$F529)))</f>
        <v/>
      </c>
    </row>
    <row r="530" spans="6:8" x14ac:dyDescent="0.25">
      <c r="F530" s="16"/>
      <c r="G530" s="16"/>
      <c r="H530" s="11" t="str">
        <f>IF(OR($A530="",$F530=""),"",IF($D530="Done",0,MAX(0,Overview!$B$3-$F530)))</f>
        <v/>
      </c>
    </row>
    <row r="531" spans="6:8" x14ac:dyDescent="0.25">
      <c r="F531" s="16"/>
      <c r="G531" s="16"/>
      <c r="H531" s="11" t="str">
        <f>IF(OR($A531="",$F531=""),"",IF($D531="Done",0,MAX(0,Overview!$B$3-$F531)))</f>
        <v/>
      </c>
    </row>
    <row r="532" spans="6:8" x14ac:dyDescent="0.25">
      <c r="F532" s="16"/>
      <c r="G532" s="16"/>
      <c r="H532" s="11" t="str">
        <f>IF(OR($A532="",$F532=""),"",IF($D532="Done",0,MAX(0,Overview!$B$3-$F532)))</f>
        <v/>
      </c>
    </row>
    <row r="533" spans="6:8" x14ac:dyDescent="0.25">
      <c r="F533" s="16"/>
      <c r="G533" s="16"/>
      <c r="H533" s="11" t="str">
        <f>IF(OR($A533="",$F533=""),"",IF($D533="Done",0,MAX(0,Overview!$B$3-$F533)))</f>
        <v/>
      </c>
    </row>
    <row r="534" spans="6:8" x14ac:dyDescent="0.25">
      <c r="F534" s="16"/>
      <c r="G534" s="16"/>
      <c r="H534" s="11" t="str">
        <f>IF(OR($A534="",$F534=""),"",IF($D534="Done",0,MAX(0,Overview!$B$3-$F534)))</f>
        <v/>
      </c>
    </row>
    <row r="535" spans="6:8" x14ac:dyDescent="0.25">
      <c r="F535" s="16"/>
      <c r="G535" s="16"/>
      <c r="H535" s="11" t="str">
        <f>IF(OR($A535="",$F535=""),"",IF($D535="Done",0,MAX(0,Overview!$B$3-$F535)))</f>
        <v/>
      </c>
    </row>
    <row r="536" spans="6:8" x14ac:dyDescent="0.25">
      <c r="F536" s="16"/>
      <c r="G536" s="16"/>
      <c r="H536" s="11" t="str">
        <f>IF(OR($A536="",$F536=""),"",IF($D536="Done",0,MAX(0,Overview!$B$3-$F536)))</f>
        <v/>
      </c>
    </row>
    <row r="537" spans="6:8" x14ac:dyDescent="0.25">
      <c r="F537" s="16"/>
      <c r="G537" s="16"/>
      <c r="H537" s="11" t="str">
        <f>IF(OR($A537="",$F537=""),"",IF($D537="Done",0,MAX(0,Overview!$B$3-$F537)))</f>
        <v/>
      </c>
    </row>
    <row r="538" spans="6:8" x14ac:dyDescent="0.25">
      <c r="F538" s="16"/>
      <c r="G538" s="16"/>
      <c r="H538" s="11" t="str">
        <f>IF(OR($A538="",$F538=""),"",IF($D538="Done",0,MAX(0,Overview!$B$3-$F538)))</f>
        <v/>
      </c>
    </row>
    <row r="539" spans="6:8" x14ac:dyDescent="0.25">
      <c r="F539" s="16"/>
      <c r="G539" s="16"/>
      <c r="H539" s="11" t="str">
        <f>IF(OR($A539="",$F539=""),"",IF($D539="Done",0,MAX(0,Overview!$B$3-$F539)))</f>
        <v/>
      </c>
    </row>
    <row r="540" spans="6:8" x14ac:dyDescent="0.25">
      <c r="F540" s="16"/>
      <c r="G540" s="16"/>
      <c r="H540" s="11" t="str">
        <f>IF(OR($A540="",$F540=""),"",IF($D540="Done",0,MAX(0,Overview!$B$3-$F540)))</f>
        <v/>
      </c>
    </row>
    <row r="541" spans="6:8" x14ac:dyDescent="0.25">
      <c r="F541" s="16"/>
      <c r="G541" s="16"/>
      <c r="H541" s="11" t="str">
        <f>IF(OR($A541="",$F541=""),"",IF($D541="Done",0,MAX(0,Overview!$B$3-$F541)))</f>
        <v/>
      </c>
    </row>
    <row r="542" spans="6:8" x14ac:dyDescent="0.25">
      <c r="F542" s="16"/>
      <c r="G542" s="16"/>
      <c r="H542" s="11" t="str">
        <f>IF(OR($A542="",$F542=""),"",IF($D542="Done",0,MAX(0,Overview!$B$3-$F542)))</f>
        <v/>
      </c>
    </row>
    <row r="543" spans="6:8" x14ac:dyDescent="0.25">
      <c r="F543" s="16"/>
      <c r="G543" s="16"/>
      <c r="H543" s="11" t="str">
        <f>IF(OR($A543="",$F543=""),"",IF($D543="Done",0,MAX(0,Overview!$B$3-$F543)))</f>
        <v/>
      </c>
    </row>
    <row r="544" spans="6:8" x14ac:dyDescent="0.25">
      <c r="F544" s="16"/>
      <c r="G544" s="16"/>
      <c r="H544" s="11" t="str">
        <f>IF(OR($A544="",$F544=""),"",IF($D544="Done",0,MAX(0,Overview!$B$3-$F544)))</f>
        <v/>
      </c>
    </row>
    <row r="545" spans="6:8" x14ac:dyDescent="0.25">
      <c r="F545" s="16"/>
      <c r="G545" s="16"/>
      <c r="H545" s="11" t="str">
        <f>IF(OR($A545="",$F545=""),"",IF($D545="Done",0,MAX(0,Overview!$B$3-$F545)))</f>
        <v/>
      </c>
    </row>
    <row r="546" spans="6:8" x14ac:dyDescent="0.25">
      <c r="F546" s="16"/>
      <c r="G546" s="16"/>
      <c r="H546" s="11" t="str">
        <f>IF(OR($A546="",$F546=""),"",IF($D546="Done",0,MAX(0,Overview!$B$3-$F546)))</f>
        <v/>
      </c>
    </row>
    <row r="547" spans="6:8" x14ac:dyDescent="0.25">
      <c r="F547" s="16"/>
      <c r="G547" s="16"/>
      <c r="H547" s="11" t="str">
        <f>IF(OR($A547="",$F547=""),"",IF($D547="Done",0,MAX(0,Overview!$B$3-$F547)))</f>
        <v/>
      </c>
    </row>
    <row r="548" spans="6:8" x14ac:dyDescent="0.25">
      <c r="F548" s="16"/>
      <c r="G548" s="16"/>
      <c r="H548" s="11" t="str">
        <f>IF(OR($A548="",$F548=""),"",IF($D548="Done",0,MAX(0,Overview!$B$3-$F548)))</f>
        <v/>
      </c>
    </row>
    <row r="549" spans="6:8" x14ac:dyDescent="0.25">
      <c r="F549" s="16"/>
      <c r="G549" s="16"/>
      <c r="H549" s="11" t="str">
        <f>IF(OR($A549="",$F549=""),"",IF($D549="Done",0,MAX(0,Overview!$B$3-$F549)))</f>
        <v/>
      </c>
    </row>
    <row r="550" spans="6:8" x14ac:dyDescent="0.25">
      <c r="F550" s="16"/>
      <c r="G550" s="16"/>
      <c r="H550" s="11" t="str">
        <f>IF(OR($A550="",$F550=""),"",IF($D550="Done",0,MAX(0,Overview!$B$3-$F550)))</f>
        <v/>
      </c>
    </row>
    <row r="551" spans="6:8" x14ac:dyDescent="0.25">
      <c r="F551" s="16"/>
      <c r="G551" s="16"/>
      <c r="H551" s="11" t="str">
        <f>IF(OR($A551="",$F551=""),"",IF($D551="Done",0,MAX(0,Overview!$B$3-$F551)))</f>
        <v/>
      </c>
    </row>
    <row r="552" spans="6:8" x14ac:dyDescent="0.25">
      <c r="F552" s="16"/>
      <c r="G552" s="16"/>
      <c r="H552" s="11" t="str">
        <f>IF(OR($A552="",$F552=""),"",IF($D552="Done",0,MAX(0,Overview!$B$3-$F552)))</f>
        <v/>
      </c>
    </row>
    <row r="553" spans="6:8" x14ac:dyDescent="0.25">
      <c r="F553" s="16"/>
      <c r="G553" s="16"/>
      <c r="H553" s="11" t="str">
        <f>IF(OR($A553="",$F553=""),"",IF($D553="Done",0,MAX(0,Overview!$B$3-$F553)))</f>
        <v/>
      </c>
    </row>
    <row r="554" spans="6:8" x14ac:dyDescent="0.25">
      <c r="F554" s="16"/>
      <c r="G554" s="16"/>
      <c r="H554" s="11" t="str">
        <f>IF(OR($A554="",$F554=""),"",IF($D554="Done",0,MAX(0,Overview!$B$3-$F554)))</f>
        <v/>
      </c>
    </row>
    <row r="555" spans="6:8" x14ac:dyDescent="0.25">
      <c r="F555" s="16"/>
      <c r="G555" s="16"/>
      <c r="H555" s="11" t="str">
        <f>IF(OR($A555="",$F555=""),"",IF($D555="Done",0,MAX(0,Overview!$B$3-$F555)))</f>
        <v/>
      </c>
    </row>
    <row r="556" spans="6:8" x14ac:dyDescent="0.25">
      <c r="F556" s="16"/>
      <c r="G556" s="16"/>
      <c r="H556" s="11" t="str">
        <f>IF(OR($A556="",$F556=""),"",IF($D556="Done",0,MAX(0,Overview!$B$3-$F556)))</f>
        <v/>
      </c>
    </row>
    <row r="557" spans="6:8" x14ac:dyDescent="0.25">
      <c r="F557" s="16"/>
      <c r="G557" s="16"/>
      <c r="H557" s="11" t="str">
        <f>IF(OR($A557="",$F557=""),"",IF($D557="Done",0,MAX(0,Overview!$B$3-$F557)))</f>
        <v/>
      </c>
    </row>
    <row r="558" spans="6:8" x14ac:dyDescent="0.25">
      <c r="F558" s="16"/>
      <c r="G558" s="16"/>
      <c r="H558" s="11" t="str">
        <f>IF(OR($A558="",$F558=""),"",IF($D558="Done",0,MAX(0,Overview!$B$3-$F558)))</f>
        <v/>
      </c>
    </row>
    <row r="559" spans="6:8" x14ac:dyDescent="0.25">
      <c r="F559" s="16"/>
      <c r="G559" s="16"/>
      <c r="H559" s="11" t="str">
        <f>IF(OR($A559="",$F559=""),"",IF($D559="Done",0,MAX(0,Overview!$B$3-$F559)))</f>
        <v/>
      </c>
    </row>
    <row r="560" spans="6:8" x14ac:dyDescent="0.25">
      <c r="F560" s="16"/>
      <c r="G560" s="16"/>
      <c r="H560" s="11" t="str">
        <f>IF(OR($A560="",$F560=""),"",IF($D560="Done",0,MAX(0,Overview!$B$3-$F560)))</f>
        <v/>
      </c>
    </row>
    <row r="561" spans="6:8" x14ac:dyDescent="0.25">
      <c r="F561" s="16"/>
      <c r="G561" s="16"/>
      <c r="H561" s="11" t="str">
        <f>IF(OR($A561="",$F561=""),"",IF($D561="Done",0,MAX(0,Overview!$B$3-$F561)))</f>
        <v/>
      </c>
    </row>
    <row r="562" spans="6:8" x14ac:dyDescent="0.25">
      <c r="F562" s="16"/>
      <c r="G562" s="16"/>
      <c r="H562" s="11" t="str">
        <f>IF(OR($A562="",$F562=""),"",IF($D562="Done",0,MAX(0,Overview!$B$3-$F562)))</f>
        <v/>
      </c>
    </row>
    <row r="563" spans="6:8" x14ac:dyDescent="0.25">
      <c r="F563" s="16"/>
      <c r="G563" s="16"/>
      <c r="H563" s="11" t="str">
        <f>IF(OR($A563="",$F563=""),"",IF($D563="Done",0,MAX(0,Overview!$B$3-$F563)))</f>
        <v/>
      </c>
    </row>
    <row r="564" spans="6:8" x14ac:dyDescent="0.25">
      <c r="F564" s="16"/>
      <c r="G564" s="16"/>
      <c r="H564" s="11" t="str">
        <f>IF(OR($A564="",$F564=""),"",IF($D564="Done",0,MAX(0,Overview!$B$3-$F564)))</f>
        <v/>
      </c>
    </row>
    <row r="565" spans="6:8" x14ac:dyDescent="0.25">
      <c r="F565" s="16"/>
      <c r="G565" s="16"/>
      <c r="H565" s="11" t="str">
        <f>IF(OR($A565="",$F565=""),"",IF($D565="Done",0,MAX(0,Overview!$B$3-$F565)))</f>
        <v/>
      </c>
    </row>
    <row r="566" spans="6:8" x14ac:dyDescent="0.25">
      <c r="F566" s="16"/>
      <c r="G566" s="16"/>
      <c r="H566" s="11" t="str">
        <f>IF(OR($A566="",$F566=""),"",IF($D566="Done",0,MAX(0,Overview!$B$3-$F566)))</f>
        <v/>
      </c>
    </row>
    <row r="567" spans="6:8" x14ac:dyDescent="0.25">
      <c r="F567" s="16"/>
      <c r="G567" s="16"/>
      <c r="H567" s="11" t="str">
        <f>IF(OR($A567="",$F567=""),"",IF($D567="Done",0,MAX(0,Overview!$B$3-$F567)))</f>
        <v/>
      </c>
    </row>
    <row r="568" spans="6:8" x14ac:dyDescent="0.25">
      <c r="F568" s="16"/>
      <c r="G568" s="16"/>
      <c r="H568" s="11" t="str">
        <f>IF(OR($A568="",$F568=""),"",IF($D568="Done",0,MAX(0,Overview!$B$3-$F568)))</f>
        <v/>
      </c>
    </row>
    <row r="569" spans="6:8" x14ac:dyDescent="0.25">
      <c r="F569" s="16"/>
      <c r="G569" s="16"/>
      <c r="H569" s="11" t="str">
        <f>IF(OR($A569="",$F569=""),"",IF($D569="Done",0,MAX(0,Overview!$B$3-$F569)))</f>
        <v/>
      </c>
    </row>
    <row r="570" spans="6:8" x14ac:dyDescent="0.25">
      <c r="F570" s="16"/>
      <c r="G570" s="16"/>
      <c r="H570" s="11" t="str">
        <f>IF(OR($A570="",$F570=""),"",IF($D570="Done",0,MAX(0,Overview!$B$3-$F570)))</f>
        <v/>
      </c>
    </row>
    <row r="571" spans="6:8" x14ac:dyDescent="0.25">
      <c r="F571" s="16"/>
      <c r="G571" s="16"/>
      <c r="H571" s="11" t="str">
        <f>IF(OR($A571="",$F571=""),"",IF($D571="Done",0,MAX(0,Overview!$B$3-$F571)))</f>
        <v/>
      </c>
    </row>
    <row r="572" spans="6:8" x14ac:dyDescent="0.25">
      <c r="F572" s="16"/>
      <c r="G572" s="16"/>
      <c r="H572" s="11" t="str">
        <f>IF(OR($A572="",$F572=""),"",IF($D572="Done",0,MAX(0,Overview!$B$3-$F572)))</f>
        <v/>
      </c>
    </row>
    <row r="573" spans="6:8" x14ac:dyDescent="0.25">
      <c r="F573" s="16"/>
      <c r="G573" s="16"/>
      <c r="H573" s="11" t="str">
        <f>IF(OR($A573="",$F573=""),"",IF($D573="Done",0,MAX(0,Overview!$B$3-$F573)))</f>
        <v/>
      </c>
    </row>
    <row r="574" spans="6:8" x14ac:dyDescent="0.25">
      <c r="F574" s="16"/>
      <c r="G574" s="16"/>
      <c r="H574" s="11" t="str">
        <f>IF(OR($A574="",$F574=""),"",IF($D574="Done",0,MAX(0,Overview!$B$3-$F574)))</f>
        <v/>
      </c>
    </row>
    <row r="575" spans="6:8" x14ac:dyDescent="0.25">
      <c r="F575" s="16"/>
      <c r="G575" s="16"/>
      <c r="H575" s="11" t="str">
        <f>IF(OR($A575="",$F575=""),"",IF($D575="Done",0,MAX(0,Overview!$B$3-$F575)))</f>
        <v/>
      </c>
    </row>
    <row r="576" spans="6:8" x14ac:dyDescent="0.25">
      <c r="F576" s="16"/>
      <c r="G576" s="16"/>
      <c r="H576" s="11" t="str">
        <f>IF(OR($A576="",$F576=""),"",IF($D576="Done",0,MAX(0,Overview!$B$3-$F576)))</f>
        <v/>
      </c>
    </row>
    <row r="577" spans="6:8" x14ac:dyDescent="0.25">
      <c r="F577" s="16"/>
      <c r="G577" s="16"/>
      <c r="H577" s="11" t="str">
        <f>IF(OR($A577="",$F577=""),"",IF($D577="Done",0,MAX(0,Overview!$B$3-$F577)))</f>
        <v/>
      </c>
    </row>
    <row r="578" spans="6:8" x14ac:dyDescent="0.25">
      <c r="F578" s="16"/>
      <c r="G578" s="16"/>
      <c r="H578" s="11" t="str">
        <f>IF(OR($A578="",$F578=""),"",IF($D578="Done",0,MAX(0,Overview!$B$3-$F578)))</f>
        <v/>
      </c>
    </row>
    <row r="579" spans="6:8" x14ac:dyDescent="0.25">
      <c r="F579" s="16"/>
      <c r="G579" s="16"/>
      <c r="H579" s="11" t="str">
        <f>IF(OR($A579="",$F579=""),"",IF($D579="Done",0,MAX(0,Overview!$B$3-$F579)))</f>
        <v/>
      </c>
    </row>
    <row r="580" spans="6:8" x14ac:dyDescent="0.25">
      <c r="F580" s="16"/>
      <c r="G580" s="16"/>
      <c r="H580" s="11" t="str">
        <f>IF(OR($A580="",$F580=""),"",IF($D580="Done",0,MAX(0,Overview!$B$3-$F580)))</f>
        <v/>
      </c>
    </row>
    <row r="581" spans="6:8" x14ac:dyDescent="0.25">
      <c r="F581" s="16"/>
      <c r="G581" s="16"/>
      <c r="H581" s="11" t="str">
        <f>IF(OR($A581="",$F581=""),"",IF($D581="Done",0,MAX(0,Overview!$B$3-$F581)))</f>
        <v/>
      </c>
    </row>
    <row r="582" spans="6:8" x14ac:dyDescent="0.25">
      <c r="F582" s="16"/>
      <c r="G582" s="16"/>
      <c r="H582" s="11" t="str">
        <f>IF(OR($A582="",$F582=""),"",IF($D582="Done",0,MAX(0,Overview!$B$3-$F582)))</f>
        <v/>
      </c>
    </row>
    <row r="583" spans="6:8" x14ac:dyDescent="0.25">
      <c r="F583" s="16"/>
      <c r="G583" s="16"/>
      <c r="H583" s="11" t="str">
        <f>IF(OR($A583="",$F583=""),"",IF($D583="Done",0,MAX(0,Overview!$B$3-$F583)))</f>
        <v/>
      </c>
    </row>
    <row r="584" spans="6:8" x14ac:dyDescent="0.25">
      <c r="F584" s="16"/>
      <c r="G584" s="16"/>
      <c r="H584" s="11" t="str">
        <f>IF(OR($A584="",$F584=""),"",IF($D584="Done",0,MAX(0,Overview!$B$3-$F584)))</f>
        <v/>
      </c>
    </row>
    <row r="585" spans="6:8" x14ac:dyDescent="0.25">
      <c r="F585" s="16"/>
      <c r="G585" s="16"/>
      <c r="H585" s="11" t="str">
        <f>IF(OR($A585="",$F585=""),"",IF($D585="Done",0,MAX(0,Overview!$B$3-$F585)))</f>
        <v/>
      </c>
    </row>
    <row r="586" spans="6:8" x14ac:dyDescent="0.25">
      <c r="F586" s="16"/>
      <c r="G586" s="16"/>
      <c r="H586" s="11" t="str">
        <f>IF(OR($A586="",$F586=""),"",IF($D586="Done",0,MAX(0,Overview!$B$3-$F586)))</f>
        <v/>
      </c>
    </row>
    <row r="587" spans="6:8" x14ac:dyDescent="0.25">
      <c r="F587" s="16"/>
      <c r="G587" s="16"/>
      <c r="H587" s="11" t="str">
        <f>IF(OR($A587="",$F587=""),"",IF($D587="Done",0,MAX(0,Overview!$B$3-$F587)))</f>
        <v/>
      </c>
    </row>
    <row r="588" spans="6:8" x14ac:dyDescent="0.25">
      <c r="F588" s="16"/>
      <c r="G588" s="16"/>
      <c r="H588" s="11" t="str">
        <f>IF(OR($A588="",$F588=""),"",IF($D588="Done",0,MAX(0,Overview!$B$3-$F588)))</f>
        <v/>
      </c>
    </row>
    <row r="589" spans="6:8" x14ac:dyDescent="0.25">
      <c r="F589" s="16"/>
      <c r="G589" s="16"/>
      <c r="H589" s="11" t="str">
        <f>IF(OR($A589="",$F589=""),"",IF($D589="Done",0,MAX(0,Overview!$B$3-$F589)))</f>
        <v/>
      </c>
    </row>
    <row r="590" spans="6:8" x14ac:dyDescent="0.25">
      <c r="F590" s="16"/>
      <c r="G590" s="16"/>
      <c r="H590" s="11" t="str">
        <f>IF(OR($A590="",$F590=""),"",IF($D590="Done",0,MAX(0,Overview!$B$3-$F590)))</f>
        <v/>
      </c>
    </row>
    <row r="591" spans="6:8" x14ac:dyDescent="0.25">
      <c r="F591" s="16"/>
      <c r="G591" s="16"/>
      <c r="H591" s="11" t="str">
        <f>IF(OR($A591="",$F591=""),"",IF($D591="Done",0,MAX(0,Overview!$B$3-$F591)))</f>
        <v/>
      </c>
    </row>
    <row r="592" spans="6:8" x14ac:dyDescent="0.25">
      <c r="F592" s="16"/>
      <c r="G592" s="16"/>
      <c r="H592" s="11" t="str">
        <f>IF(OR($A592="",$F592=""),"",IF($D592="Done",0,MAX(0,Overview!$B$3-$F592)))</f>
        <v/>
      </c>
    </row>
    <row r="593" spans="6:8" x14ac:dyDescent="0.25">
      <c r="F593" s="16"/>
      <c r="G593" s="16"/>
      <c r="H593" s="11" t="str">
        <f>IF(OR($A593="",$F593=""),"",IF($D593="Done",0,MAX(0,Overview!$B$3-$F593)))</f>
        <v/>
      </c>
    </row>
    <row r="594" spans="6:8" x14ac:dyDescent="0.25">
      <c r="F594" s="16"/>
      <c r="G594" s="16"/>
      <c r="H594" s="11" t="str">
        <f>IF(OR($A594="",$F594=""),"",IF($D594="Done",0,MAX(0,Overview!$B$3-$F594)))</f>
        <v/>
      </c>
    </row>
    <row r="595" spans="6:8" x14ac:dyDescent="0.25">
      <c r="F595" s="16"/>
      <c r="G595" s="16"/>
      <c r="H595" s="11" t="str">
        <f>IF(OR($A595="",$F595=""),"",IF($D595="Done",0,MAX(0,Overview!$B$3-$F595)))</f>
        <v/>
      </c>
    </row>
    <row r="596" spans="6:8" x14ac:dyDescent="0.25">
      <c r="F596" s="16"/>
      <c r="G596" s="16"/>
      <c r="H596" s="11" t="str">
        <f>IF(OR($A596="",$F596=""),"",IF($D596="Done",0,MAX(0,Overview!$B$3-$F596)))</f>
        <v/>
      </c>
    </row>
    <row r="597" spans="6:8" x14ac:dyDescent="0.25">
      <c r="F597" s="16"/>
      <c r="G597" s="16"/>
      <c r="H597" s="11" t="str">
        <f>IF(OR($A597="",$F597=""),"",IF($D597="Done",0,MAX(0,Overview!$B$3-$F597)))</f>
        <v/>
      </c>
    </row>
    <row r="598" spans="6:8" x14ac:dyDescent="0.25">
      <c r="F598" s="16"/>
      <c r="G598" s="16"/>
      <c r="H598" s="11" t="str">
        <f>IF(OR($A598="",$F598=""),"",IF($D598="Done",0,MAX(0,Overview!$B$3-$F598)))</f>
        <v/>
      </c>
    </row>
    <row r="599" spans="6:8" x14ac:dyDescent="0.25">
      <c r="F599" s="16"/>
      <c r="G599" s="16"/>
      <c r="H599" s="11" t="str">
        <f>IF(OR($A599="",$F599=""),"",IF($D599="Done",0,MAX(0,Overview!$B$3-$F599)))</f>
        <v/>
      </c>
    </row>
    <row r="600" spans="6:8" x14ac:dyDescent="0.25">
      <c r="F600" s="16"/>
      <c r="G600" s="16"/>
      <c r="H600" s="11" t="str">
        <f>IF(OR($A600="",$F600=""),"",IF($D600="Done",0,MAX(0,Overview!$B$3-$F600)))</f>
        <v/>
      </c>
    </row>
    <row r="601" spans="6:8" x14ac:dyDescent="0.25">
      <c r="F601" s="16"/>
      <c r="G601" s="16"/>
      <c r="H601" s="11" t="str">
        <f>IF(OR($A601="",$F601=""),"",IF($D601="Done",0,MAX(0,Overview!$B$3-$F601)))</f>
        <v/>
      </c>
    </row>
    <row r="602" spans="6:8" x14ac:dyDescent="0.25">
      <c r="F602" s="16"/>
      <c r="G602" s="16"/>
      <c r="H602" s="11" t="str">
        <f>IF(OR($A602="",$F602=""),"",IF($D602="Done",0,MAX(0,Overview!$B$3-$F602)))</f>
        <v/>
      </c>
    </row>
    <row r="603" spans="6:8" x14ac:dyDescent="0.25">
      <c r="F603" s="16"/>
      <c r="G603" s="16"/>
      <c r="H603" s="11" t="str">
        <f>IF(OR($A603="",$F603=""),"",IF($D603="Done",0,MAX(0,Overview!$B$3-$F603)))</f>
        <v/>
      </c>
    </row>
    <row r="604" spans="6:8" x14ac:dyDescent="0.25">
      <c r="F604" s="16"/>
      <c r="G604" s="16"/>
      <c r="H604" s="11" t="str">
        <f>IF(OR($A604="",$F604=""),"",IF($D604="Done",0,MAX(0,Overview!$B$3-$F604)))</f>
        <v/>
      </c>
    </row>
    <row r="605" spans="6:8" x14ac:dyDescent="0.25">
      <c r="F605" s="16"/>
      <c r="G605" s="16"/>
      <c r="H605" s="11" t="str">
        <f>IF(OR($A605="",$F605=""),"",IF($D605="Done",0,MAX(0,Overview!$B$3-$F605)))</f>
        <v/>
      </c>
    </row>
    <row r="606" spans="6:8" x14ac:dyDescent="0.25">
      <c r="F606" s="16"/>
      <c r="G606" s="16"/>
      <c r="H606" s="11" t="str">
        <f>IF(OR($A606="",$F606=""),"",IF($D606="Done",0,MAX(0,Overview!$B$3-$F606)))</f>
        <v/>
      </c>
    </row>
    <row r="607" spans="6:8" x14ac:dyDescent="0.25">
      <c r="F607" s="16"/>
      <c r="G607" s="16"/>
      <c r="H607" s="11" t="str">
        <f>IF(OR($A607="",$F607=""),"",IF($D607="Done",0,MAX(0,Overview!$B$3-$F607)))</f>
        <v/>
      </c>
    </row>
    <row r="608" spans="6:8" x14ac:dyDescent="0.25">
      <c r="F608" s="16"/>
      <c r="G608" s="16"/>
      <c r="H608" s="11" t="str">
        <f>IF(OR($A608="",$F608=""),"",IF($D608="Done",0,MAX(0,Overview!$B$3-$F608)))</f>
        <v/>
      </c>
    </row>
    <row r="609" spans="6:8" x14ac:dyDescent="0.25">
      <c r="F609" s="16"/>
      <c r="G609" s="16"/>
      <c r="H609" s="11" t="str">
        <f>IF(OR($A609="",$F609=""),"",IF($D609="Done",0,MAX(0,Overview!$B$3-$F609)))</f>
        <v/>
      </c>
    </row>
    <row r="610" spans="6:8" x14ac:dyDescent="0.25">
      <c r="F610" s="16"/>
      <c r="G610" s="16"/>
      <c r="H610" s="11" t="str">
        <f>IF(OR($A610="",$F610=""),"",IF($D610="Done",0,MAX(0,Overview!$B$3-$F610)))</f>
        <v/>
      </c>
    </row>
    <row r="611" spans="6:8" x14ac:dyDescent="0.25">
      <c r="F611" s="16"/>
      <c r="G611" s="16"/>
      <c r="H611" s="11" t="str">
        <f>IF(OR($A611="",$F611=""),"",IF($D611="Done",0,MAX(0,Overview!$B$3-$F611)))</f>
        <v/>
      </c>
    </row>
    <row r="612" spans="6:8" x14ac:dyDescent="0.25">
      <c r="F612" s="16"/>
      <c r="G612" s="16"/>
      <c r="H612" s="11" t="str">
        <f>IF(OR($A612="",$F612=""),"",IF($D612="Done",0,MAX(0,Overview!$B$3-$F612)))</f>
        <v/>
      </c>
    </row>
    <row r="613" spans="6:8" x14ac:dyDescent="0.25">
      <c r="F613" s="16"/>
      <c r="G613" s="16"/>
      <c r="H613" s="11" t="str">
        <f>IF(OR($A613="",$F613=""),"",IF($D613="Done",0,MAX(0,Overview!$B$3-$F613)))</f>
        <v/>
      </c>
    </row>
    <row r="614" spans="6:8" x14ac:dyDescent="0.25">
      <c r="F614" s="16"/>
      <c r="G614" s="16"/>
      <c r="H614" s="11" t="str">
        <f>IF(OR($A614="",$F614=""),"",IF($D614="Done",0,MAX(0,Overview!$B$3-$F614)))</f>
        <v/>
      </c>
    </row>
    <row r="615" spans="6:8" x14ac:dyDescent="0.25">
      <c r="F615" s="16"/>
      <c r="G615" s="16"/>
      <c r="H615" s="11" t="str">
        <f>IF(OR($A615="",$F615=""),"",IF($D615="Done",0,MAX(0,Overview!$B$3-$F615)))</f>
        <v/>
      </c>
    </row>
    <row r="616" spans="6:8" x14ac:dyDescent="0.25">
      <c r="F616" s="16"/>
      <c r="G616" s="16"/>
      <c r="H616" s="11" t="str">
        <f>IF(OR($A616="",$F616=""),"",IF($D616="Done",0,MAX(0,Overview!$B$3-$F616)))</f>
        <v/>
      </c>
    </row>
    <row r="617" spans="6:8" x14ac:dyDescent="0.25">
      <c r="F617" s="16"/>
      <c r="G617" s="16"/>
      <c r="H617" s="11" t="str">
        <f>IF(OR($A617="",$F617=""),"",IF($D617="Done",0,MAX(0,Overview!$B$3-$F617)))</f>
        <v/>
      </c>
    </row>
    <row r="618" spans="6:8" x14ac:dyDescent="0.25">
      <c r="F618" s="16"/>
      <c r="G618" s="16"/>
      <c r="H618" s="11" t="str">
        <f>IF(OR($A618="",$F618=""),"",IF($D618="Done",0,MAX(0,Overview!$B$3-$F618)))</f>
        <v/>
      </c>
    </row>
    <row r="619" spans="6:8" x14ac:dyDescent="0.25">
      <c r="F619" s="16"/>
      <c r="G619" s="16"/>
      <c r="H619" s="11" t="str">
        <f>IF(OR($A619="",$F619=""),"",IF($D619="Done",0,MAX(0,Overview!$B$3-$F619)))</f>
        <v/>
      </c>
    </row>
    <row r="620" spans="6:8" x14ac:dyDescent="0.25">
      <c r="F620" s="16"/>
      <c r="G620" s="16"/>
      <c r="H620" s="11" t="str">
        <f>IF(OR($A620="",$F620=""),"",IF($D620="Done",0,MAX(0,Overview!$B$3-$F620)))</f>
        <v/>
      </c>
    </row>
    <row r="621" spans="6:8" x14ac:dyDescent="0.25">
      <c r="F621" s="16"/>
      <c r="G621" s="16"/>
      <c r="H621" s="11" t="str">
        <f>IF(OR($A621="",$F621=""),"",IF($D621="Done",0,MAX(0,Overview!$B$3-$F621)))</f>
        <v/>
      </c>
    </row>
    <row r="622" spans="6:8" x14ac:dyDescent="0.25">
      <c r="F622" s="16"/>
      <c r="G622" s="16"/>
      <c r="H622" s="11" t="str">
        <f>IF(OR($A622="",$F622=""),"",IF($D622="Done",0,MAX(0,Overview!$B$3-$F622)))</f>
        <v/>
      </c>
    </row>
    <row r="623" spans="6:8" x14ac:dyDescent="0.25">
      <c r="F623" s="16"/>
      <c r="G623" s="16"/>
      <c r="H623" s="11" t="str">
        <f>IF(OR($A623="",$F623=""),"",IF($D623="Done",0,MAX(0,Overview!$B$3-$F623)))</f>
        <v/>
      </c>
    </row>
    <row r="624" spans="6:8" x14ac:dyDescent="0.25">
      <c r="F624" s="16"/>
      <c r="G624" s="16"/>
      <c r="H624" s="11" t="str">
        <f>IF(OR($A624="",$F624=""),"",IF($D624="Done",0,MAX(0,Overview!$B$3-$F624)))</f>
        <v/>
      </c>
    </row>
    <row r="625" spans="6:8" x14ac:dyDescent="0.25">
      <c r="F625" s="16"/>
      <c r="G625" s="16"/>
      <c r="H625" s="11" t="str">
        <f>IF(OR($A625="",$F625=""),"",IF($D625="Done",0,MAX(0,Overview!$B$3-$F625)))</f>
        <v/>
      </c>
    </row>
    <row r="626" spans="6:8" x14ac:dyDescent="0.25">
      <c r="F626" s="16"/>
      <c r="G626" s="16"/>
      <c r="H626" s="11" t="str">
        <f>IF(OR($A626="",$F626=""),"",IF($D626="Done",0,MAX(0,Overview!$B$3-$F626)))</f>
        <v/>
      </c>
    </row>
    <row r="627" spans="6:8" x14ac:dyDescent="0.25">
      <c r="F627" s="16"/>
      <c r="G627" s="16"/>
      <c r="H627" s="11" t="str">
        <f>IF(OR($A627="",$F627=""),"",IF($D627="Done",0,MAX(0,Overview!$B$3-$F627)))</f>
        <v/>
      </c>
    </row>
    <row r="628" spans="6:8" x14ac:dyDescent="0.25">
      <c r="F628" s="16"/>
      <c r="G628" s="16"/>
      <c r="H628" s="11" t="str">
        <f>IF(OR($A628="",$F628=""),"",IF($D628="Done",0,MAX(0,Overview!$B$3-$F628)))</f>
        <v/>
      </c>
    </row>
    <row r="629" spans="6:8" x14ac:dyDescent="0.25">
      <c r="F629" s="16"/>
      <c r="G629" s="16"/>
      <c r="H629" s="11" t="str">
        <f>IF(OR($A629="",$F629=""),"",IF($D629="Done",0,MAX(0,Overview!$B$3-$F629)))</f>
        <v/>
      </c>
    </row>
    <row r="630" spans="6:8" x14ac:dyDescent="0.25">
      <c r="F630" s="16"/>
      <c r="G630" s="16"/>
      <c r="H630" s="11" t="str">
        <f>IF(OR($A630="",$F630=""),"",IF($D630="Done",0,MAX(0,Overview!$B$3-$F630)))</f>
        <v/>
      </c>
    </row>
    <row r="631" spans="6:8" x14ac:dyDescent="0.25">
      <c r="F631" s="16"/>
      <c r="G631" s="16"/>
      <c r="H631" s="11" t="str">
        <f>IF(OR($A631="",$F631=""),"",IF($D631="Done",0,MAX(0,Overview!$B$3-$F631)))</f>
        <v/>
      </c>
    </row>
    <row r="632" spans="6:8" x14ac:dyDescent="0.25">
      <c r="F632" s="16"/>
      <c r="G632" s="16"/>
      <c r="H632" s="11" t="str">
        <f>IF(OR($A632="",$F632=""),"",IF($D632="Done",0,MAX(0,Overview!$B$3-$F632)))</f>
        <v/>
      </c>
    </row>
    <row r="633" spans="6:8" x14ac:dyDescent="0.25">
      <c r="F633" s="16"/>
      <c r="G633" s="16"/>
      <c r="H633" s="11" t="str">
        <f>IF(OR($A633="",$F633=""),"",IF($D633="Done",0,MAX(0,Overview!$B$3-$F633)))</f>
        <v/>
      </c>
    </row>
    <row r="634" spans="6:8" x14ac:dyDescent="0.25">
      <c r="F634" s="16"/>
      <c r="G634" s="16"/>
      <c r="H634" s="11" t="str">
        <f>IF(OR($A634="",$F634=""),"",IF($D634="Done",0,MAX(0,Overview!$B$3-$F634)))</f>
        <v/>
      </c>
    </row>
    <row r="635" spans="6:8" x14ac:dyDescent="0.25">
      <c r="F635" s="16"/>
      <c r="G635" s="16"/>
      <c r="H635" s="11" t="str">
        <f>IF(OR($A635="",$F635=""),"",IF($D635="Done",0,MAX(0,Overview!$B$3-$F635)))</f>
        <v/>
      </c>
    </row>
    <row r="636" spans="6:8" x14ac:dyDescent="0.25">
      <c r="F636" s="16"/>
      <c r="G636" s="16"/>
      <c r="H636" s="11" t="str">
        <f>IF(OR($A636="",$F636=""),"",IF($D636="Done",0,MAX(0,Overview!$B$3-$F636)))</f>
        <v/>
      </c>
    </row>
    <row r="637" spans="6:8" x14ac:dyDescent="0.25">
      <c r="F637" s="16"/>
      <c r="G637" s="16"/>
      <c r="H637" s="11" t="str">
        <f>IF(OR($A637="",$F637=""),"",IF($D637="Done",0,MAX(0,Overview!$B$3-$F637)))</f>
        <v/>
      </c>
    </row>
    <row r="638" spans="6:8" x14ac:dyDescent="0.25">
      <c r="F638" s="16"/>
      <c r="G638" s="16"/>
      <c r="H638" s="11" t="str">
        <f>IF(OR($A638="",$F638=""),"",IF($D638="Done",0,MAX(0,Overview!$B$3-$F638)))</f>
        <v/>
      </c>
    </row>
    <row r="639" spans="6:8" x14ac:dyDescent="0.25">
      <c r="F639" s="16"/>
      <c r="G639" s="16"/>
      <c r="H639" s="11" t="str">
        <f>IF(OR($A639="",$F639=""),"",IF($D639="Done",0,MAX(0,Overview!$B$3-$F639)))</f>
        <v/>
      </c>
    </row>
    <row r="640" spans="6:8" x14ac:dyDescent="0.25">
      <c r="F640" s="16"/>
      <c r="G640" s="16"/>
      <c r="H640" s="11" t="str">
        <f>IF(OR($A640="",$F640=""),"",IF($D640="Done",0,MAX(0,Overview!$B$3-$F640)))</f>
        <v/>
      </c>
    </row>
    <row r="641" spans="6:8" x14ac:dyDescent="0.25">
      <c r="F641" s="16"/>
      <c r="G641" s="16"/>
      <c r="H641" s="11" t="str">
        <f>IF(OR($A641="",$F641=""),"",IF($D641="Done",0,MAX(0,Overview!$B$3-$F641)))</f>
        <v/>
      </c>
    </row>
    <row r="642" spans="6:8" x14ac:dyDescent="0.25">
      <c r="F642" s="16"/>
      <c r="G642" s="16"/>
      <c r="H642" s="11" t="str">
        <f>IF(OR($A642="",$F642=""),"",IF($D642="Done",0,MAX(0,Overview!$B$3-$F642)))</f>
        <v/>
      </c>
    </row>
    <row r="643" spans="6:8" x14ac:dyDescent="0.25">
      <c r="F643" s="16"/>
      <c r="G643" s="16"/>
      <c r="H643" s="11" t="str">
        <f>IF(OR($A643="",$F643=""),"",IF($D643="Done",0,MAX(0,Overview!$B$3-$F643)))</f>
        <v/>
      </c>
    </row>
    <row r="644" spans="6:8" x14ac:dyDescent="0.25">
      <c r="F644" s="16"/>
      <c r="G644" s="16"/>
      <c r="H644" s="11" t="str">
        <f>IF(OR($A644="",$F644=""),"",IF($D644="Done",0,MAX(0,Overview!$B$3-$F644)))</f>
        <v/>
      </c>
    </row>
    <row r="645" spans="6:8" x14ac:dyDescent="0.25">
      <c r="F645" s="16"/>
      <c r="G645" s="16"/>
      <c r="H645" s="11" t="str">
        <f>IF(OR($A645="",$F645=""),"",IF($D645="Done",0,MAX(0,Overview!$B$3-$F645)))</f>
        <v/>
      </c>
    </row>
    <row r="646" spans="6:8" x14ac:dyDescent="0.25">
      <c r="F646" s="16"/>
      <c r="G646" s="16"/>
      <c r="H646" s="11" t="str">
        <f>IF(OR($A646="",$F646=""),"",IF($D646="Done",0,MAX(0,Overview!$B$3-$F646)))</f>
        <v/>
      </c>
    </row>
    <row r="647" spans="6:8" x14ac:dyDescent="0.25">
      <c r="F647" s="16"/>
      <c r="G647" s="16"/>
      <c r="H647" s="11" t="str">
        <f>IF(OR($A647="",$F647=""),"",IF($D647="Done",0,MAX(0,Overview!$B$3-$F647)))</f>
        <v/>
      </c>
    </row>
    <row r="648" spans="6:8" x14ac:dyDescent="0.25">
      <c r="F648" s="16"/>
      <c r="G648" s="16"/>
      <c r="H648" s="11" t="str">
        <f>IF(OR($A648="",$F648=""),"",IF($D648="Done",0,MAX(0,Overview!$B$3-$F648)))</f>
        <v/>
      </c>
    </row>
    <row r="649" spans="6:8" x14ac:dyDescent="0.25">
      <c r="F649" s="16"/>
      <c r="G649" s="16"/>
      <c r="H649" s="11" t="str">
        <f>IF(OR($A649="",$F649=""),"",IF($D649="Done",0,MAX(0,Overview!$B$3-$F649)))</f>
        <v/>
      </c>
    </row>
    <row r="650" spans="6:8" x14ac:dyDescent="0.25">
      <c r="F650" s="16"/>
      <c r="G650" s="16"/>
      <c r="H650" s="11" t="str">
        <f>IF(OR($A650="",$F650=""),"",IF($D650="Done",0,MAX(0,Overview!$B$3-$F650)))</f>
        <v/>
      </c>
    </row>
    <row r="651" spans="6:8" x14ac:dyDescent="0.25">
      <c r="F651" s="16"/>
      <c r="G651" s="16"/>
      <c r="H651" s="11" t="str">
        <f>IF(OR($A651="",$F651=""),"",IF($D651="Done",0,MAX(0,Overview!$B$3-$F651)))</f>
        <v/>
      </c>
    </row>
    <row r="652" spans="6:8" x14ac:dyDescent="0.25">
      <c r="F652" s="16"/>
      <c r="G652" s="16"/>
      <c r="H652" s="11" t="str">
        <f>IF(OR($A652="",$F652=""),"",IF($D652="Done",0,MAX(0,Overview!$B$3-$F652)))</f>
        <v/>
      </c>
    </row>
    <row r="653" spans="6:8" x14ac:dyDescent="0.25">
      <c r="F653" s="16"/>
      <c r="G653" s="16"/>
      <c r="H653" s="11" t="str">
        <f>IF(OR($A653="",$F653=""),"",IF($D653="Done",0,MAX(0,Overview!$B$3-$F653)))</f>
        <v/>
      </c>
    </row>
    <row r="654" spans="6:8" x14ac:dyDescent="0.25">
      <c r="F654" s="16"/>
      <c r="G654" s="16"/>
      <c r="H654" s="11" t="str">
        <f>IF(OR($A654="",$F654=""),"",IF($D654="Done",0,MAX(0,Overview!$B$3-$F654)))</f>
        <v/>
      </c>
    </row>
    <row r="655" spans="6:8" x14ac:dyDescent="0.25">
      <c r="F655" s="16"/>
      <c r="G655" s="16"/>
      <c r="H655" s="11" t="str">
        <f>IF(OR($A655="",$F655=""),"",IF($D655="Done",0,MAX(0,Overview!$B$3-$F655)))</f>
        <v/>
      </c>
    </row>
    <row r="656" spans="6:8" x14ac:dyDescent="0.25">
      <c r="F656" s="16"/>
      <c r="G656" s="16"/>
      <c r="H656" s="11" t="str">
        <f>IF(OR($A656="",$F656=""),"",IF($D656="Done",0,MAX(0,Overview!$B$3-$F656)))</f>
        <v/>
      </c>
    </row>
    <row r="657" spans="6:8" x14ac:dyDescent="0.25">
      <c r="F657" s="16"/>
      <c r="G657" s="16"/>
      <c r="H657" s="11" t="str">
        <f>IF(OR($A657="",$F657=""),"",IF($D657="Done",0,MAX(0,Overview!$B$3-$F657)))</f>
        <v/>
      </c>
    </row>
    <row r="658" spans="6:8" x14ac:dyDescent="0.25">
      <c r="F658" s="16"/>
      <c r="G658" s="16"/>
      <c r="H658" s="11" t="str">
        <f>IF(OR($A658="",$F658=""),"",IF($D658="Done",0,MAX(0,Overview!$B$3-$F658)))</f>
        <v/>
      </c>
    </row>
    <row r="659" spans="6:8" x14ac:dyDescent="0.25">
      <c r="F659" s="16"/>
      <c r="G659" s="16"/>
      <c r="H659" s="11" t="str">
        <f>IF(OR($A659="",$F659=""),"",IF($D659="Done",0,MAX(0,Overview!$B$3-$F659)))</f>
        <v/>
      </c>
    </row>
    <row r="660" spans="6:8" x14ac:dyDescent="0.25">
      <c r="F660" s="16"/>
      <c r="G660" s="16"/>
      <c r="H660" s="11" t="str">
        <f>IF(OR($A660="",$F660=""),"",IF($D660="Done",0,MAX(0,Overview!$B$3-$F660)))</f>
        <v/>
      </c>
    </row>
    <row r="661" spans="6:8" x14ac:dyDescent="0.25">
      <c r="F661" s="16"/>
      <c r="G661" s="16"/>
      <c r="H661" s="11" t="str">
        <f>IF(OR($A661="",$F661=""),"",IF($D661="Done",0,MAX(0,Overview!$B$3-$F661)))</f>
        <v/>
      </c>
    </row>
    <row r="662" spans="6:8" x14ac:dyDescent="0.25">
      <c r="F662" s="16"/>
      <c r="G662" s="16"/>
      <c r="H662" s="11" t="str">
        <f>IF(OR($A662="",$F662=""),"",IF($D662="Done",0,MAX(0,Overview!$B$3-$F662)))</f>
        <v/>
      </c>
    </row>
    <row r="663" spans="6:8" x14ac:dyDescent="0.25">
      <c r="F663" s="16"/>
      <c r="G663" s="16"/>
      <c r="H663" s="11" t="str">
        <f>IF(OR($A663="",$F663=""),"",IF($D663="Done",0,MAX(0,Overview!$B$3-$F663)))</f>
        <v/>
      </c>
    </row>
    <row r="664" spans="6:8" x14ac:dyDescent="0.25">
      <c r="F664" s="16"/>
      <c r="G664" s="16"/>
      <c r="H664" s="11" t="str">
        <f>IF(OR($A664="",$F664=""),"",IF($D664="Done",0,MAX(0,Overview!$B$3-$F664)))</f>
        <v/>
      </c>
    </row>
    <row r="665" spans="6:8" x14ac:dyDescent="0.25">
      <c r="F665" s="16"/>
      <c r="G665" s="16"/>
      <c r="H665" s="11" t="str">
        <f>IF(OR($A665="",$F665=""),"",IF($D665="Done",0,MAX(0,Overview!$B$3-$F665)))</f>
        <v/>
      </c>
    </row>
    <row r="666" spans="6:8" x14ac:dyDescent="0.25">
      <c r="F666" s="16"/>
      <c r="G666" s="16"/>
      <c r="H666" s="11" t="str">
        <f>IF(OR($A666="",$F666=""),"",IF($D666="Done",0,MAX(0,Overview!$B$3-$F666)))</f>
        <v/>
      </c>
    </row>
    <row r="667" spans="6:8" x14ac:dyDescent="0.25">
      <c r="F667" s="16"/>
      <c r="G667" s="16"/>
      <c r="H667" s="11" t="str">
        <f>IF(OR($A667="",$F667=""),"",IF($D667="Done",0,MAX(0,Overview!$B$3-$F667)))</f>
        <v/>
      </c>
    </row>
    <row r="668" spans="6:8" x14ac:dyDescent="0.25">
      <c r="F668" s="16"/>
      <c r="G668" s="16"/>
      <c r="H668" s="11" t="str">
        <f>IF(OR($A668="",$F668=""),"",IF($D668="Done",0,MAX(0,Overview!$B$3-$F668)))</f>
        <v/>
      </c>
    </row>
    <row r="669" spans="6:8" x14ac:dyDescent="0.25">
      <c r="F669" s="16"/>
      <c r="G669" s="16"/>
      <c r="H669" s="11" t="str">
        <f>IF(OR($A669="",$F669=""),"",IF($D669="Done",0,MAX(0,Overview!$B$3-$F669)))</f>
        <v/>
      </c>
    </row>
    <row r="670" spans="6:8" x14ac:dyDescent="0.25">
      <c r="F670" s="16"/>
      <c r="G670" s="16"/>
      <c r="H670" s="11" t="str">
        <f>IF(OR($A670="",$F670=""),"",IF($D670="Done",0,MAX(0,Overview!$B$3-$F670)))</f>
        <v/>
      </c>
    </row>
    <row r="671" spans="6:8" x14ac:dyDescent="0.25">
      <c r="F671" s="16"/>
      <c r="G671" s="16"/>
      <c r="H671" s="11" t="str">
        <f>IF(OR($A671="",$F671=""),"",IF($D671="Done",0,MAX(0,Overview!$B$3-$F671)))</f>
        <v/>
      </c>
    </row>
    <row r="672" spans="6:8" x14ac:dyDescent="0.25">
      <c r="F672" s="16"/>
      <c r="G672" s="16"/>
      <c r="H672" s="11" t="str">
        <f>IF(OR($A672="",$F672=""),"",IF($D672="Done",0,MAX(0,Overview!$B$3-$F672)))</f>
        <v/>
      </c>
    </row>
    <row r="673" spans="6:8" x14ac:dyDescent="0.25">
      <c r="F673" s="16"/>
      <c r="G673" s="16"/>
      <c r="H673" s="11" t="str">
        <f>IF(OR($A673="",$F673=""),"",IF($D673="Done",0,MAX(0,Overview!$B$3-$F673)))</f>
        <v/>
      </c>
    </row>
    <row r="674" spans="6:8" x14ac:dyDescent="0.25">
      <c r="F674" s="16"/>
      <c r="G674" s="16"/>
      <c r="H674" s="11" t="str">
        <f>IF(OR($A674="",$F674=""),"",IF($D674="Done",0,MAX(0,Overview!$B$3-$F674)))</f>
        <v/>
      </c>
    </row>
    <row r="675" spans="6:8" x14ac:dyDescent="0.25">
      <c r="F675" s="16"/>
      <c r="G675" s="16"/>
      <c r="H675" s="11" t="str">
        <f>IF(OR($A675="",$F675=""),"",IF($D675="Done",0,MAX(0,Overview!$B$3-$F675)))</f>
        <v/>
      </c>
    </row>
    <row r="676" spans="6:8" x14ac:dyDescent="0.25">
      <c r="F676" s="16"/>
      <c r="G676" s="16"/>
      <c r="H676" s="11" t="str">
        <f>IF(OR($A676="",$F676=""),"",IF($D676="Done",0,MAX(0,Overview!$B$3-$F676)))</f>
        <v/>
      </c>
    </row>
    <row r="677" spans="6:8" x14ac:dyDescent="0.25">
      <c r="F677" s="16"/>
      <c r="G677" s="16"/>
      <c r="H677" s="11" t="str">
        <f>IF(OR($A677="",$F677=""),"",IF($D677="Done",0,MAX(0,Overview!$B$3-$F677)))</f>
        <v/>
      </c>
    </row>
    <row r="678" spans="6:8" x14ac:dyDescent="0.25">
      <c r="F678" s="16"/>
      <c r="G678" s="16"/>
      <c r="H678" s="11" t="str">
        <f>IF(OR($A678="",$F678=""),"",IF($D678="Done",0,MAX(0,Overview!$B$3-$F678)))</f>
        <v/>
      </c>
    </row>
    <row r="679" spans="6:8" x14ac:dyDescent="0.25">
      <c r="F679" s="16"/>
      <c r="G679" s="16"/>
      <c r="H679" s="11" t="str">
        <f>IF(OR($A679="",$F679=""),"",IF($D679="Done",0,MAX(0,Overview!$B$3-$F679)))</f>
        <v/>
      </c>
    </row>
    <row r="680" spans="6:8" x14ac:dyDescent="0.25">
      <c r="F680" s="16"/>
      <c r="G680" s="16"/>
      <c r="H680" s="11" t="str">
        <f>IF(OR($A680="",$F680=""),"",IF($D680="Done",0,MAX(0,Overview!$B$3-$F680)))</f>
        <v/>
      </c>
    </row>
    <row r="681" spans="6:8" x14ac:dyDescent="0.25">
      <c r="F681" s="16"/>
      <c r="G681" s="16"/>
      <c r="H681" s="11" t="str">
        <f>IF(OR($A681="",$F681=""),"",IF($D681="Done",0,MAX(0,Overview!$B$3-$F681)))</f>
        <v/>
      </c>
    </row>
    <row r="682" spans="6:8" x14ac:dyDescent="0.25">
      <c r="F682" s="16"/>
      <c r="G682" s="16"/>
      <c r="H682" s="11" t="str">
        <f>IF(OR($A682="",$F682=""),"",IF($D682="Done",0,MAX(0,Overview!$B$3-$F682)))</f>
        <v/>
      </c>
    </row>
    <row r="683" spans="6:8" x14ac:dyDescent="0.25">
      <c r="F683" s="16"/>
      <c r="G683" s="16"/>
      <c r="H683" s="11" t="str">
        <f>IF(OR($A683="",$F683=""),"",IF($D683="Done",0,MAX(0,Overview!$B$3-$F683)))</f>
        <v/>
      </c>
    </row>
    <row r="684" spans="6:8" x14ac:dyDescent="0.25">
      <c r="F684" s="16"/>
      <c r="G684" s="16"/>
      <c r="H684" s="11" t="str">
        <f>IF(OR($A684="",$F684=""),"",IF($D684="Done",0,MAX(0,Overview!$B$3-$F684)))</f>
        <v/>
      </c>
    </row>
    <row r="685" spans="6:8" x14ac:dyDescent="0.25">
      <c r="F685" s="16"/>
      <c r="G685" s="16"/>
      <c r="H685" s="11" t="str">
        <f>IF(OR($A685="",$F685=""),"",IF($D685="Done",0,MAX(0,Overview!$B$3-$F685)))</f>
        <v/>
      </c>
    </row>
    <row r="686" spans="6:8" x14ac:dyDescent="0.25">
      <c r="F686" s="16"/>
      <c r="G686" s="16"/>
      <c r="H686" s="11" t="str">
        <f>IF(OR($A686="",$F686=""),"",IF($D686="Done",0,MAX(0,Overview!$B$3-$F686)))</f>
        <v/>
      </c>
    </row>
    <row r="687" spans="6:8" x14ac:dyDescent="0.25">
      <c r="F687" s="16"/>
      <c r="G687" s="16"/>
      <c r="H687" s="11" t="str">
        <f>IF(OR($A687="",$F687=""),"",IF($D687="Done",0,MAX(0,Overview!$B$3-$F687)))</f>
        <v/>
      </c>
    </row>
    <row r="688" spans="6:8" x14ac:dyDescent="0.25">
      <c r="F688" s="16"/>
      <c r="G688" s="16"/>
      <c r="H688" s="11" t="str">
        <f>IF(OR($A688="",$F688=""),"",IF($D688="Done",0,MAX(0,Overview!$B$3-$F688)))</f>
        <v/>
      </c>
    </row>
    <row r="689" spans="6:8" x14ac:dyDescent="0.25">
      <c r="F689" s="16"/>
      <c r="G689" s="16"/>
      <c r="H689" s="11" t="str">
        <f>IF(OR($A689="",$F689=""),"",IF($D689="Done",0,MAX(0,Overview!$B$3-$F689)))</f>
        <v/>
      </c>
    </row>
    <row r="690" spans="6:8" x14ac:dyDescent="0.25">
      <c r="F690" s="16"/>
      <c r="G690" s="16"/>
      <c r="H690" s="11" t="str">
        <f>IF(OR($A690="",$F690=""),"",IF($D690="Done",0,MAX(0,Overview!$B$3-$F690)))</f>
        <v/>
      </c>
    </row>
    <row r="691" spans="6:8" x14ac:dyDescent="0.25">
      <c r="F691" s="16"/>
      <c r="G691" s="16"/>
      <c r="H691" s="11" t="str">
        <f>IF(OR($A691="",$F691=""),"",IF($D691="Done",0,MAX(0,Overview!$B$3-$F691)))</f>
        <v/>
      </c>
    </row>
    <row r="692" spans="6:8" x14ac:dyDescent="0.25">
      <c r="F692" s="16"/>
      <c r="G692" s="16"/>
      <c r="H692" s="11" t="str">
        <f>IF(OR($A692="",$F692=""),"",IF($D692="Done",0,MAX(0,Overview!$B$3-$F692)))</f>
        <v/>
      </c>
    </row>
    <row r="693" spans="6:8" x14ac:dyDescent="0.25">
      <c r="F693" s="16"/>
      <c r="G693" s="16"/>
      <c r="H693" s="11" t="str">
        <f>IF(OR($A693="",$F693=""),"",IF($D693="Done",0,MAX(0,Overview!$B$3-$F693)))</f>
        <v/>
      </c>
    </row>
    <row r="694" spans="6:8" x14ac:dyDescent="0.25">
      <c r="F694" s="16"/>
      <c r="G694" s="16"/>
      <c r="H694" s="11" t="str">
        <f>IF(OR($A694="",$F694=""),"",IF($D694="Done",0,MAX(0,Overview!$B$3-$F694)))</f>
        <v/>
      </c>
    </row>
    <row r="695" spans="6:8" x14ac:dyDescent="0.25">
      <c r="F695" s="16"/>
      <c r="G695" s="16"/>
      <c r="H695" s="11" t="str">
        <f>IF(OR($A695="",$F695=""),"",IF($D695="Done",0,MAX(0,Overview!$B$3-$F695)))</f>
        <v/>
      </c>
    </row>
    <row r="696" spans="6:8" x14ac:dyDescent="0.25">
      <c r="F696" s="16"/>
      <c r="G696" s="16"/>
      <c r="H696" s="11" t="str">
        <f>IF(OR($A696="",$F696=""),"",IF($D696="Done",0,MAX(0,Overview!$B$3-$F696)))</f>
        <v/>
      </c>
    </row>
    <row r="697" spans="6:8" x14ac:dyDescent="0.25">
      <c r="F697" s="16"/>
      <c r="G697" s="16"/>
      <c r="H697" s="11" t="str">
        <f>IF(OR($A697="",$F697=""),"",IF($D697="Done",0,MAX(0,Overview!$B$3-$F697)))</f>
        <v/>
      </c>
    </row>
    <row r="698" spans="6:8" x14ac:dyDescent="0.25">
      <c r="F698" s="16"/>
      <c r="G698" s="16"/>
      <c r="H698" s="11" t="str">
        <f>IF(OR($A698="",$F698=""),"",IF($D698="Done",0,MAX(0,Overview!$B$3-$F698)))</f>
        <v/>
      </c>
    </row>
    <row r="699" spans="6:8" x14ac:dyDescent="0.25">
      <c r="F699" s="16"/>
      <c r="G699" s="16"/>
      <c r="H699" s="11" t="str">
        <f>IF(OR($A699="",$F699=""),"",IF($D699="Done",0,MAX(0,Overview!$B$3-$F699)))</f>
        <v/>
      </c>
    </row>
    <row r="700" spans="6:8" x14ac:dyDescent="0.25">
      <c r="F700" s="16"/>
      <c r="G700" s="16"/>
      <c r="H700" s="11" t="str">
        <f>IF(OR($A700="",$F700=""),"",IF($D700="Done",0,MAX(0,Overview!$B$3-$F700)))</f>
        <v/>
      </c>
    </row>
    <row r="701" spans="6:8" x14ac:dyDescent="0.25">
      <c r="F701" s="16"/>
      <c r="G701" s="16"/>
      <c r="H701" s="11" t="str">
        <f>IF(OR($A701="",$F701=""),"",IF($D701="Done",0,MAX(0,Overview!$B$3-$F701)))</f>
        <v/>
      </c>
    </row>
    <row r="702" spans="6:8" x14ac:dyDescent="0.25">
      <c r="F702" s="16"/>
      <c r="G702" s="16"/>
      <c r="H702" s="11" t="str">
        <f>IF(OR($A702="",$F702=""),"",IF($D702="Done",0,MAX(0,Overview!$B$3-$F702)))</f>
        <v/>
      </c>
    </row>
    <row r="703" spans="6:8" x14ac:dyDescent="0.25">
      <c r="F703" s="16"/>
      <c r="G703" s="16"/>
      <c r="H703" s="11" t="str">
        <f>IF(OR($A703="",$F703=""),"",IF($D703="Done",0,MAX(0,Overview!$B$3-$F703)))</f>
        <v/>
      </c>
    </row>
    <row r="704" spans="6:8" x14ac:dyDescent="0.25">
      <c r="F704" s="16"/>
      <c r="G704" s="16"/>
      <c r="H704" s="11" t="str">
        <f>IF(OR($A704="",$F704=""),"",IF($D704="Done",0,MAX(0,Overview!$B$3-$F704)))</f>
        <v/>
      </c>
    </row>
    <row r="705" spans="6:8" x14ac:dyDescent="0.25">
      <c r="F705" s="16"/>
      <c r="G705" s="16"/>
      <c r="H705" s="11" t="str">
        <f>IF(OR($A705="",$F705=""),"",IF($D705="Done",0,MAX(0,Overview!$B$3-$F705)))</f>
        <v/>
      </c>
    </row>
    <row r="706" spans="6:8" x14ac:dyDescent="0.25">
      <c r="F706" s="16"/>
      <c r="G706" s="16"/>
      <c r="H706" s="11" t="str">
        <f>IF(OR($A706="",$F706=""),"",IF($D706="Done",0,MAX(0,Overview!$B$3-$F706)))</f>
        <v/>
      </c>
    </row>
    <row r="707" spans="6:8" x14ac:dyDescent="0.25">
      <c r="F707" s="16"/>
      <c r="G707" s="16"/>
      <c r="H707" s="11" t="str">
        <f>IF(OR($A707="",$F707=""),"",IF($D707="Done",0,MAX(0,Overview!$B$3-$F707)))</f>
        <v/>
      </c>
    </row>
    <row r="708" spans="6:8" x14ac:dyDescent="0.25">
      <c r="F708" s="16"/>
      <c r="G708" s="16"/>
      <c r="H708" s="11" t="str">
        <f>IF(OR($A708="",$F708=""),"",IF($D708="Done",0,MAX(0,Overview!$B$3-$F708)))</f>
        <v/>
      </c>
    </row>
    <row r="709" spans="6:8" x14ac:dyDescent="0.25">
      <c r="F709" s="16"/>
      <c r="G709" s="16"/>
      <c r="H709" s="11" t="str">
        <f>IF(OR($A709="",$F709=""),"",IF($D709="Done",0,MAX(0,Overview!$B$3-$F709)))</f>
        <v/>
      </c>
    </row>
    <row r="710" spans="6:8" x14ac:dyDescent="0.25">
      <c r="F710" s="16"/>
      <c r="G710" s="16"/>
      <c r="H710" s="11" t="str">
        <f>IF(OR($A710="",$F710=""),"",IF($D710="Done",0,MAX(0,Overview!$B$3-$F710)))</f>
        <v/>
      </c>
    </row>
    <row r="711" spans="6:8" x14ac:dyDescent="0.25">
      <c r="F711" s="16"/>
      <c r="G711" s="16"/>
      <c r="H711" s="11" t="str">
        <f>IF(OR($A711="",$F711=""),"",IF($D711="Done",0,MAX(0,Overview!$B$3-$F711)))</f>
        <v/>
      </c>
    </row>
    <row r="712" spans="6:8" x14ac:dyDescent="0.25">
      <c r="F712" s="16"/>
      <c r="G712" s="16"/>
      <c r="H712" s="11" t="str">
        <f>IF(OR($A712="",$F712=""),"",IF($D712="Done",0,MAX(0,Overview!$B$3-$F712)))</f>
        <v/>
      </c>
    </row>
    <row r="713" spans="6:8" x14ac:dyDescent="0.25">
      <c r="F713" s="16"/>
      <c r="G713" s="16"/>
      <c r="H713" s="11" t="str">
        <f>IF(OR($A713="",$F713=""),"",IF($D713="Done",0,MAX(0,Overview!$B$3-$F713)))</f>
        <v/>
      </c>
    </row>
    <row r="714" spans="6:8" x14ac:dyDescent="0.25">
      <c r="F714" s="16"/>
      <c r="G714" s="16"/>
      <c r="H714" s="11" t="str">
        <f>IF(OR($A714="",$F714=""),"",IF($D714="Done",0,MAX(0,Overview!$B$3-$F714)))</f>
        <v/>
      </c>
    </row>
    <row r="715" spans="6:8" x14ac:dyDescent="0.25">
      <c r="F715" s="16"/>
      <c r="G715" s="16"/>
      <c r="H715" s="11" t="str">
        <f>IF(OR($A715="",$F715=""),"",IF($D715="Done",0,MAX(0,Overview!$B$3-$F715)))</f>
        <v/>
      </c>
    </row>
    <row r="716" spans="6:8" x14ac:dyDescent="0.25">
      <c r="F716" s="16"/>
      <c r="G716" s="16"/>
      <c r="H716" s="11" t="str">
        <f>IF(OR($A716="",$F716=""),"",IF($D716="Done",0,MAX(0,Overview!$B$3-$F716)))</f>
        <v/>
      </c>
    </row>
    <row r="717" spans="6:8" x14ac:dyDescent="0.25">
      <c r="F717" s="16"/>
      <c r="G717" s="16"/>
      <c r="H717" s="11" t="str">
        <f>IF(OR($A717="",$F717=""),"",IF($D717="Done",0,MAX(0,Overview!$B$3-$F717)))</f>
        <v/>
      </c>
    </row>
    <row r="718" spans="6:8" x14ac:dyDescent="0.25">
      <c r="F718" s="16"/>
      <c r="G718" s="16"/>
      <c r="H718" s="11" t="str">
        <f>IF(OR($A718="",$F718=""),"",IF($D718="Done",0,MAX(0,Overview!$B$3-$F718)))</f>
        <v/>
      </c>
    </row>
    <row r="719" spans="6:8" x14ac:dyDescent="0.25">
      <c r="F719" s="16"/>
      <c r="G719" s="16"/>
      <c r="H719" s="11" t="str">
        <f>IF(OR($A719="",$F719=""),"",IF($D719="Done",0,MAX(0,Overview!$B$3-$F719)))</f>
        <v/>
      </c>
    </row>
    <row r="720" spans="6:8" x14ac:dyDescent="0.25">
      <c r="F720" s="16"/>
      <c r="G720" s="16"/>
      <c r="H720" s="11" t="str">
        <f>IF(OR($A720="",$F720=""),"",IF($D720="Done",0,MAX(0,Overview!$B$3-$F720)))</f>
        <v/>
      </c>
    </row>
    <row r="721" spans="6:8" x14ac:dyDescent="0.25">
      <c r="F721" s="16"/>
      <c r="G721" s="16"/>
      <c r="H721" s="11" t="str">
        <f>IF(OR($A721="",$F721=""),"",IF($D721="Done",0,MAX(0,Overview!$B$3-$F721)))</f>
        <v/>
      </c>
    </row>
    <row r="722" spans="6:8" x14ac:dyDescent="0.25">
      <c r="F722" s="16"/>
      <c r="G722" s="16"/>
      <c r="H722" s="11" t="str">
        <f>IF(OR($A722="",$F722=""),"",IF($D722="Done",0,MAX(0,Overview!$B$3-$F722)))</f>
        <v/>
      </c>
    </row>
    <row r="723" spans="6:8" x14ac:dyDescent="0.25">
      <c r="F723" s="16"/>
      <c r="G723" s="16"/>
      <c r="H723" s="11" t="str">
        <f>IF(OR($A723="",$F723=""),"",IF($D723="Done",0,MAX(0,Overview!$B$3-$F723)))</f>
        <v/>
      </c>
    </row>
    <row r="724" spans="6:8" x14ac:dyDescent="0.25">
      <c r="F724" s="16"/>
      <c r="G724" s="16"/>
      <c r="H724" s="11" t="str">
        <f>IF(OR($A724="",$F724=""),"",IF($D724="Done",0,MAX(0,Overview!$B$3-$F724)))</f>
        <v/>
      </c>
    </row>
    <row r="725" spans="6:8" x14ac:dyDescent="0.25">
      <c r="F725" s="16"/>
      <c r="G725" s="16"/>
      <c r="H725" s="11" t="str">
        <f>IF(OR($A725="",$F725=""),"",IF($D725="Done",0,MAX(0,Overview!$B$3-$F725)))</f>
        <v/>
      </c>
    </row>
    <row r="726" spans="6:8" x14ac:dyDescent="0.25">
      <c r="F726" s="16"/>
      <c r="G726" s="16"/>
      <c r="H726" s="11" t="str">
        <f>IF(OR($A726="",$F726=""),"",IF($D726="Done",0,MAX(0,Overview!$B$3-$F726)))</f>
        <v/>
      </c>
    </row>
    <row r="727" spans="6:8" x14ac:dyDescent="0.25">
      <c r="F727" s="16"/>
      <c r="G727" s="16"/>
      <c r="H727" s="11" t="str">
        <f>IF(OR($A727="",$F727=""),"",IF($D727="Done",0,MAX(0,Overview!$B$3-$F727)))</f>
        <v/>
      </c>
    </row>
    <row r="728" spans="6:8" x14ac:dyDescent="0.25">
      <c r="F728" s="16"/>
      <c r="G728" s="16"/>
      <c r="H728" s="11" t="str">
        <f>IF(OR($A728="",$F728=""),"",IF($D728="Done",0,MAX(0,Overview!$B$3-$F728)))</f>
        <v/>
      </c>
    </row>
    <row r="729" spans="6:8" x14ac:dyDescent="0.25">
      <c r="F729" s="16"/>
      <c r="G729" s="16"/>
      <c r="H729" s="11" t="str">
        <f>IF(OR($A729="",$F729=""),"",IF($D729="Done",0,MAX(0,Overview!$B$3-$F729)))</f>
        <v/>
      </c>
    </row>
    <row r="730" spans="6:8" x14ac:dyDescent="0.25">
      <c r="F730" s="16"/>
      <c r="G730" s="16"/>
      <c r="H730" s="11" t="str">
        <f>IF(OR($A730="",$F730=""),"",IF($D730="Done",0,MAX(0,Overview!$B$3-$F730)))</f>
        <v/>
      </c>
    </row>
    <row r="731" spans="6:8" x14ac:dyDescent="0.25">
      <c r="F731" s="16"/>
      <c r="G731" s="16"/>
      <c r="H731" s="11" t="str">
        <f>IF(OR($A731="",$F731=""),"",IF($D731="Done",0,MAX(0,Overview!$B$3-$F731)))</f>
        <v/>
      </c>
    </row>
    <row r="732" spans="6:8" x14ac:dyDescent="0.25">
      <c r="F732" s="16"/>
      <c r="G732" s="16"/>
      <c r="H732" s="11" t="str">
        <f>IF(OR($A732="",$F732=""),"",IF($D732="Done",0,MAX(0,Overview!$B$3-$F732)))</f>
        <v/>
      </c>
    </row>
    <row r="733" spans="6:8" x14ac:dyDescent="0.25">
      <c r="F733" s="16"/>
      <c r="G733" s="16"/>
      <c r="H733" s="11" t="str">
        <f>IF(OR($A733="",$F733=""),"",IF($D733="Done",0,MAX(0,Overview!$B$3-$F733)))</f>
        <v/>
      </c>
    </row>
    <row r="734" spans="6:8" x14ac:dyDescent="0.25">
      <c r="F734" s="16"/>
      <c r="G734" s="16"/>
      <c r="H734" s="11" t="str">
        <f>IF(OR($A734="",$F734=""),"",IF($D734="Done",0,MAX(0,Overview!$B$3-$F734)))</f>
        <v/>
      </c>
    </row>
    <row r="735" spans="6:8" x14ac:dyDescent="0.25">
      <c r="F735" s="16"/>
      <c r="G735" s="16"/>
      <c r="H735" s="11" t="str">
        <f>IF(OR($A735="",$F735=""),"",IF($D735="Done",0,MAX(0,Overview!$B$3-$F735)))</f>
        <v/>
      </c>
    </row>
    <row r="736" spans="6:8" x14ac:dyDescent="0.25">
      <c r="F736" s="16"/>
      <c r="G736" s="16"/>
      <c r="H736" s="11" t="str">
        <f>IF(OR($A736="",$F736=""),"",IF($D736="Done",0,MAX(0,Overview!$B$3-$F736)))</f>
        <v/>
      </c>
    </row>
    <row r="737" spans="6:8" x14ac:dyDescent="0.25">
      <c r="F737" s="16"/>
      <c r="G737" s="16"/>
      <c r="H737" s="11" t="str">
        <f>IF(OR($A737="",$F737=""),"",IF($D737="Done",0,MAX(0,Overview!$B$3-$F737)))</f>
        <v/>
      </c>
    </row>
    <row r="738" spans="6:8" x14ac:dyDescent="0.25">
      <c r="F738" s="16"/>
      <c r="G738" s="16"/>
      <c r="H738" s="11" t="str">
        <f>IF(OR($A738="",$F738=""),"",IF($D738="Done",0,MAX(0,Overview!$B$3-$F738)))</f>
        <v/>
      </c>
    </row>
    <row r="739" spans="6:8" x14ac:dyDescent="0.25">
      <c r="F739" s="16"/>
      <c r="G739" s="16"/>
      <c r="H739" s="11" t="str">
        <f>IF(OR($A739="",$F739=""),"",IF($D739="Done",0,MAX(0,Overview!$B$3-$F739)))</f>
        <v/>
      </c>
    </row>
    <row r="740" spans="6:8" x14ac:dyDescent="0.25">
      <c r="F740" s="16"/>
      <c r="G740" s="16"/>
      <c r="H740" s="11" t="str">
        <f>IF(OR($A740="",$F740=""),"",IF($D740="Done",0,MAX(0,Overview!$B$3-$F740)))</f>
        <v/>
      </c>
    </row>
    <row r="741" spans="6:8" x14ac:dyDescent="0.25">
      <c r="F741" s="16"/>
      <c r="G741" s="16"/>
      <c r="H741" s="11" t="str">
        <f>IF(OR($A741="",$F741=""),"",IF($D741="Done",0,MAX(0,Overview!$B$3-$F741)))</f>
        <v/>
      </c>
    </row>
    <row r="742" spans="6:8" x14ac:dyDescent="0.25">
      <c r="F742" s="16"/>
      <c r="G742" s="16"/>
      <c r="H742" s="11" t="str">
        <f>IF(OR($A742="",$F742=""),"",IF($D742="Done",0,MAX(0,Overview!$B$3-$F742)))</f>
        <v/>
      </c>
    </row>
    <row r="743" spans="6:8" x14ac:dyDescent="0.25">
      <c r="F743" s="16"/>
      <c r="G743" s="16"/>
      <c r="H743" s="11" t="str">
        <f>IF(OR($A743="",$F743=""),"",IF($D743="Done",0,MAX(0,Overview!$B$3-$F743)))</f>
        <v/>
      </c>
    </row>
    <row r="744" spans="6:8" x14ac:dyDescent="0.25">
      <c r="F744" s="16"/>
      <c r="G744" s="16"/>
      <c r="H744" s="11" t="str">
        <f>IF(OR($A744="",$F744=""),"",IF($D744="Done",0,MAX(0,Overview!$B$3-$F744)))</f>
        <v/>
      </c>
    </row>
    <row r="745" spans="6:8" x14ac:dyDescent="0.25">
      <c r="F745" s="16"/>
      <c r="G745" s="16"/>
      <c r="H745" s="11" t="str">
        <f>IF(OR($A745="",$F745=""),"",IF($D745="Done",0,MAX(0,Overview!$B$3-$F745)))</f>
        <v/>
      </c>
    </row>
    <row r="746" spans="6:8" x14ac:dyDescent="0.25">
      <c r="F746" s="16"/>
      <c r="G746" s="16"/>
      <c r="H746" s="11" t="str">
        <f>IF(OR($A746="",$F746=""),"",IF($D746="Done",0,MAX(0,Overview!$B$3-$F746)))</f>
        <v/>
      </c>
    </row>
    <row r="747" spans="6:8" x14ac:dyDescent="0.25">
      <c r="F747" s="16"/>
      <c r="G747" s="16"/>
      <c r="H747" s="11" t="str">
        <f>IF(OR($A747="",$F747=""),"",IF($D747="Done",0,MAX(0,Overview!$B$3-$F747)))</f>
        <v/>
      </c>
    </row>
    <row r="748" spans="6:8" x14ac:dyDescent="0.25">
      <c r="F748" s="16"/>
      <c r="G748" s="16"/>
      <c r="H748" s="11" t="str">
        <f>IF(OR($A748="",$F748=""),"",IF($D748="Done",0,MAX(0,Overview!$B$3-$F748)))</f>
        <v/>
      </c>
    </row>
    <row r="749" spans="6:8" x14ac:dyDescent="0.25">
      <c r="F749" s="16"/>
      <c r="G749" s="16"/>
      <c r="H749" s="11" t="str">
        <f>IF(OR($A749="",$F749=""),"",IF($D749="Done",0,MAX(0,Overview!$B$3-$F749)))</f>
        <v/>
      </c>
    </row>
    <row r="750" spans="6:8" x14ac:dyDescent="0.25">
      <c r="F750" s="16"/>
      <c r="G750" s="16"/>
      <c r="H750" s="11" t="str">
        <f>IF(OR($A750="",$F750=""),"",IF($D750="Done",0,MAX(0,Overview!$B$3-$F750)))</f>
        <v/>
      </c>
    </row>
    <row r="751" spans="6:8" x14ac:dyDescent="0.25">
      <c r="F751" s="16"/>
      <c r="G751" s="16"/>
      <c r="H751" s="11" t="str">
        <f>IF(OR($A751="",$F751=""),"",IF($D751="Done",0,MAX(0,Overview!$B$3-$F751)))</f>
        <v/>
      </c>
    </row>
    <row r="752" spans="6:8" x14ac:dyDescent="0.25">
      <c r="F752" s="16"/>
      <c r="G752" s="16"/>
      <c r="H752" s="11" t="str">
        <f>IF(OR($A752="",$F752=""),"",IF($D752="Done",0,MAX(0,Overview!$B$3-$F752)))</f>
        <v/>
      </c>
    </row>
    <row r="753" spans="6:8" x14ac:dyDescent="0.25">
      <c r="F753" s="16"/>
      <c r="G753" s="16"/>
      <c r="H753" s="11" t="str">
        <f>IF(OR($A753="",$F753=""),"",IF($D753="Done",0,MAX(0,Overview!$B$3-$F753)))</f>
        <v/>
      </c>
    </row>
    <row r="754" spans="6:8" x14ac:dyDescent="0.25">
      <c r="F754" s="16"/>
      <c r="G754" s="16"/>
      <c r="H754" s="11" t="str">
        <f>IF(OR($A754="",$F754=""),"",IF($D754="Done",0,MAX(0,Overview!$B$3-$F754)))</f>
        <v/>
      </c>
    </row>
    <row r="755" spans="6:8" x14ac:dyDescent="0.25">
      <c r="F755" s="16"/>
      <c r="G755" s="16"/>
      <c r="H755" s="11" t="str">
        <f>IF(OR($A755="",$F755=""),"",IF($D755="Done",0,MAX(0,Overview!$B$3-$F755)))</f>
        <v/>
      </c>
    </row>
    <row r="756" spans="6:8" x14ac:dyDescent="0.25">
      <c r="F756" s="16"/>
      <c r="G756" s="16"/>
      <c r="H756" s="11" t="str">
        <f>IF(OR($A756="",$F756=""),"",IF($D756="Done",0,MAX(0,Overview!$B$3-$F756)))</f>
        <v/>
      </c>
    </row>
    <row r="757" spans="6:8" x14ac:dyDescent="0.25">
      <c r="F757" s="16"/>
      <c r="G757" s="16"/>
      <c r="H757" s="11" t="str">
        <f>IF(OR($A757="",$F757=""),"",IF($D757="Done",0,MAX(0,Overview!$B$3-$F757)))</f>
        <v/>
      </c>
    </row>
    <row r="758" spans="6:8" x14ac:dyDescent="0.25">
      <c r="F758" s="16"/>
      <c r="G758" s="16"/>
      <c r="H758" s="11" t="str">
        <f>IF(OR($A758="",$F758=""),"",IF($D758="Done",0,MAX(0,Overview!$B$3-$F758)))</f>
        <v/>
      </c>
    </row>
    <row r="759" spans="6:8" x14ac:dyDescent="0.25">
      <c r="F759" s="16"/>
      <c r="G759" s="16"/>
      <c r="H759" s="11" t="str">
        <f>IF(OR($A759="",$F759=""),"",IF($D759="Done",0,MAX(0,Overview!$B$3-$F759)))</f>
        <v/>
      </c>
    </row>
    <row r="760" spans="6:8" x14ac:dyDescent="0.25">
      <c r="F760" s="16"/>
      <c r="G760" s="16"/>
      <c r="H760" s="11" t="str">
        <f>IF(OR($A760="",$F760=""),"",IF($D760="Done",0,MAX(0,Overview!$B$3-$F760)))</f>
        <v/>
      </c>
    </row>
    <row r="761" spans="6:8" x14ac:dyDescent="0.25">
      <c r="F761" s="16"/>
      <c r="G761" s="16"/>
      <c r="H761" s="11" t="str">
        <f>IF(OR($A761="",$F761=""),"",IF($D761="Done",0,MAX(0,Overview!$B$3-$F761)))</f>
        <v/>
      </c>
    </row>
    <row r="762" spans="6:8" x14ac:dyDescent="0.25">
      <c r="F762" s="16"/>
      <c r="G762" s="16"/>
      <c r="H762" s="11" t="str">
        <f>IF(OR($A762="",$F762=""),"",IF($D762="Done",0,MAX(0,Overview!$B$3-$F762)))</f>
        <v/>
      </c>
    </row>
    <row r="763" spans="6:8" x14ac:dyDescent="0.25">
      <c r="F763" s="16"/>
      <c r="G763" s="16"/>
      <c r="H763" s="11" t="str">
        <f>IF(OR($A763="",$F763=""),"",IF($D763="Done",0,MAX(0,Overview!$B$3-$F763)))</f>
        <v/>
      </c>
    </row>
    <row r="764" spans="6:8" x14ac:dyDescent="0.25">
      <c r="F764" s="16"/>
      <c r="G764" s="16"/>
      <c r="H764" s="11" t="str">
        <f>IF(OR($A764="",$F764=""),"",IF($D764="Done",0,MAX(0,Overview!$B$3-$F764)))</f>
        <v/>
      </c>
    </row>
    <row r="765" spans="6:8" x14ac:dyDescent="0.25">
      <c r="F765" s="16"/>
      <c r="G765" s="16"/>
      <c r="H765" s="11" t="str">
        <f>IF(OR($A765="",$F765=""),"",IF($D765="Done",0,MAX(0,Overview!$B$3-$F765)))</f>
        <v/>
      </c>
    </row>
    <row r="766" spans="6:8" x14ac:dyDescent="0.25">
      <c r="F766" s="16"/>
      <c r="G766" s="16"/>
      <c r="H766" s="11" t="str">
        <f>IF(OR($A766="",$F766=""),"",IF($D766="Done",0,MAX(0,Overview!$B$3-$F766)))</f>
        <v/>
      </c>
    </row>
    <row r="767" spans="6:8" x14ac:dyDescent="0.25">
      <c r="F767" s="16"/>
      <c r="G767" s="16"/>
      <c r="H767" s="11" t="str">
        <f>IF(OR($A767="",$F767=""),"",IF($D767="Done",0,MAX(0,Overview!$B$3-$F767)))</f>
        <v/>
      </c>
    </row>
    <row r="768" spans="6:8" x14ac:dyDescent="0.25">
      <c r="F768" s="16"/>
      <c r="G768" s="16"/>
      <c r="H768" s="11" t="str">
        <f>IF(OR($A768="",$F768=""),"",IF($D768="Done",0,MAX(0,Overview!$B$3-$F768)))</f>
        <v/>
      </c>
    </row>
    <row r="769" spans="6:8" x14ac:dyDescent="0.25">
      <c r="F769" s="16"/>
      <c r="G769" s="16"/>
      <c r="H769" s="11" t="str">
        <f>IF(OR($A769="",$F769=""),"",IF($D769="Done",0,MAX(0,Overview!$B$3-$F769)))</f>
        <v/>
      </c>
    </row>
    <row r="770" spans="6:8" x14ac:dyDescent="0.25">
      <c r="F770" s="16"/>
      <c r="G770" s="16"/>
      <c r="H770" s="11" t="str">
        <f>IF(OR($A770="",$F770=""),"",IF($D770="Done",0,MAX(0,Overview!$B$3-$F770)))</f>
        <v/>
      </c>
    </row>
    <row r="771" spans="6:8" x14ac:dyDescent="0.25">
      <c r="F771" s="16"/>
      <c r="G771" s="16"/>
      <c r="H771" s="11" t="str">
        <f>IF(OR($A771="",$F771=""),"",IF($D771="Done",0,MAX(0,Overview!$B$3-$F771)))</f>
        <v/>
      </c>
    </row>
    <row r="772" spans="6:8" x14ac:dyDescent="0.25">
      <c r="F772" s="16"/>
      <c r="G772" s="16"/>
      <c r="H772" s="11" t="str">
        <f>IF(OR($A772="",$F772=""),"",IF($D772="Done",0,MAX(0,Overview!$B$3-$F772)))</f>
        <v/>
      </c>
    </row>
    <row r="773" spans="6:8" x14ac:dyDescent="0.25">
      <c r="F773" s="16"/>
      <c r="G773" s="16"/>
      <c r="H773" s="11" t="str">
        <f>IF(OR($A773="",$F773=""),"",IF($D773="Done",0,MAX(0,Overview!$B$3-$F773)))</f>
        <v/>
      </c>
    </row>
    <row r="774" spans="6:8" x14ac:dyDescent="0.25">
      <c r="F774" s="16"/>
      <c r="G774" s="16"/>
      <c r="H774" s="11" t="str">
        <f>IF(OR($A774="",$F774=""),"",IF($D774="Done",0,MAX(0,Overview!$B$3-$F774)))</f>
        <v/>
      </c>
    </row>
    <row r="775" spans="6:8" x14ac:dyDescent="0.25">
      <c r="F775" s="16"/>
      <c r="G775" s="16"/>
      <c r="H775" s="11" t="str">
        <f>IF(OR($A775="",$F775=""),"",IF($D775="Done",0,MAX(0,Overview!$B$3-$F775)))</f>
        <v/>
      </c>
    </row>
    <row r="776" spans="6:8" x14ac:dyDescent="0.25">
      <c r="F776" s="16"/>
      <c r="G776" s="16"/>
      <c r="H776" s="11" t="str">
        <f>IF(OR($A776="",$F776=""),"",IF($D776="Done",0,MAX(0,Overview!$B$3-$F776)))</f>
        <v/>
      </c>
    </row>
    <row r="777" spans="6:8" x14ac:dyDescent="0.25">
      <c r="F777" s="16"/>
      <c r="G777" s="16"/>
      <c r="H777" s="11" t="str">
        <f>IF(OR($A777="",$F777=""),"",IF($D777="Done",0,MAX(0,Overview!$B$3-$F777)))</f>
        <v/>
      </c>
    </row>
    <row r="778" spans="6:8" x14ac:dyDescent="0.25">
      <c r="F778" s="16"/>
      <c r="G778" s="16"/>
      <c r="H778" s="11" t="str">
        <f>IF(OR($A778="",$F778=""),"",IF($D778="Done",0,MAX(0,Overview!$B$3-$F778)))</f>
        <v/>
      </c>
    </row>
    <row r="779" spans="6:8" x14ac:dyDescent="0.25">
      <c r="F779" s="16"/>
      <c r="G779" s="16"/>
      <c r="H779" s="11" t="str">
        <f>IF(OR($A779="",$F779=""),"",IF($D779="Done",0,MAX(0,Overview!$B$3-$F779)))</f>
        <v/>
      </c>
    </row>
    <row r="780" spans="6:8" x14ac:dyDescent="0.25">
      <c r="F780" s="16"/>
      <c r="G780" s="16"/>
      <c r="H780" s="11" t="str">
        <f>IF(OR($A780="",$F780=""),"",IF($D780="Done",0,MAX(0,Overview!$B$3-$F780)))</f>
        <v/>
      </c>
    </row>
    <row r="781" spans="6:8" x14ac:dyDescent="0.25">
      <c r="F781" s="16"/>
      <c r="G781" s="16"/>
      <c r="H781" s="11" t="str">
        <f>IF(OR($A781="",$F781=""),"",IF($D781="Done",0,MAX(0,Overview!$B$3-$F781)))</f>
        <v/>
      </c>
    </row>
    <row r="782" spans="6:8" x14ac:dyDescent="0.25">
      <c r="F782" s="16"/>
      <c r="G782" s="16"/>
      <c r="H782" s="11" t="str">
        <f>IF(OR($A782="",$F782=""),"",IF($D782="Done",0,MAX(0,Overview!$B$3-$F782)))</f>
        <v/>
      </c>
    </row>
    <row r="783" spans="6:8" x14ac:dyDescent="0.25">
      <c r="F783" s="16"/>
      <c r="G783" s="16"/>
      <c r="H783" s="11" t="str">
        <f>IF(OR($A783="",$F783=""),"",IF($D783="Done",0,MAX(0,Overview!$B$3-$F783)))</f>
        <v/>
      </c>
    </row>
    <row r="784" spans="6:8" x14ac:dyDescent="0.25">
      <c r="F784" s="16"/>
      <c r="G784" s="16"/>
      <c r="H784" s="11" t="str">
        <f>IF(OR($A784="",$F784=""),"",IF($D784="Done",0,MAX(0,Overview!$B$3-$F784)))</f>
        <v/>
      </c>
    </row>
    <row r="785" spans="6:8" x14ac:dyDescent="0.25">
      <c r="F785" s="16"/>
      <c r="G785" s="16"/>
      <c r="H785" s="11" t="str">
        <f>IF(OR($A785="",$F785=""),"",IF($D785="Done",0,MAX(0,Overview!$B$3-$F785)))</f>
        <v/>
      </c>
    </row>
    <row r="786" spans="6:8" x14ac:dyDescent="0.25">
      <c r="F786" s="16"/>
      <c r="G786" s="16"/>
      <c r="H786" s="11" t="str">
        <f>IF(OR($A786="",$F786=""),"",IF($D786="Done",0,MAX(0,Overview!$B$3-$F786)))</f>
        <v/>
      </c>
    </row>
    <row r="787" spans="6:8" x14ac:dyDescent="0.25">
      <c r="F787" s="16"/>
      <c r="G787" s="16"/>
      <c r="H787" s="11" t="str">
        <f>IF(OR($A787="",$F787=""),"",IF($D787="Done",0,MAX(0,Overview!$B$3-$F787)))</f>
        <v/>
      </c>
    </row>
    <row r="788" spans="6:8" x14ac:dyDescent="0.25">
      <c r="F788" s="16"/>
      <c r="G788" s="16"/>
      <c r="H788" s="11" t="str">
        <f>IF(OR($A788="",$F788=""),"",IF($D788="Done",0,MAX(0,Overview!$B$3-$F788)))</f>
        <v/>
      </c>
    </row>
    <row r="789" spans="6:8" x14ac:dyDescent="0.25">
      <c r="F789" s="16"/>
      <c r="G789" s="16"/>
      <c r="H789" s="11" t="str">
        <f>IF(OR($A789="",$F789=""),"",IF($D789="Done",0,MAX(0,Overview!$B$3-$F789)))</f>
        <v/>
      </c>
    </row>
    <row r="790" spans="6:8" x14ac:dyDescent="0.25">
      <c r="F790" s="16"/>
      <c r="G790" s="16"/>
      <c r="H790" s="11" t="str">
        <f>IF(OR($A790="",$F790=""),"",IF($D790="Done",0,MAX(0,Overview!$B$3-$F790)))</f>
        <v/>
      </c>
    </row>
    <row r="791" spans="6:8" x14ac:dyDescent="0.25">
      <c r="F791" s="16"/>
      <c r="G791" s="16"/>
      <c r="H791" s="11" t="str">
        <f>IF(OR($A791="",$F791=""),"",IF($D791="Done",0,MAX(0,Overview!$B$3-$F791)))</f>
        <v/>
      </c>
    </row>
    <row r="792" spans="6:8" x14ac:dyDescent="0.25">
      <c r="F792" s="16"/>
      <c r="G792" s="16"/>
      <c r="H792" s="11" t="str">
        <f>IF(OR($A792="",$F792=""),"",IF($D792="Done",0,MAX(0,Overview!$B$3-$F792)))</f>
        <v/>
      </c>
    </row>
    <row r="793" spans="6:8" x14ac:dyDescent="0.25">
      <c r="F793" s="16"/>
      <c r="G793" s="16"/>
      <c r="H793" s="11" t="str">
        <f>IF(OR($A793="",$F793=""),"",IF($D793="Done",0,MAX(0,Overview!$B$3-$F793)))</f>
        <v/>
      </c>
    </row>
    <row r="794" spans="6:8" x14ac:dyDescent="0.25">
      <c r="F794" s="16"/>
      <c r="G794" s="16"/>
      <c r="H794" s="11" t="str">
        <f>IF(OR($A794="",$F794=""),"",IF($D794="Done",0,MAX(0,Overview!$B$3-$F794)))</f>
        <v/>
      </c>
    </row>
    <row r="795" spans="6:8" x14ac:dyDescent="0.25">
      <c r="F795" s="16"/>
      <c r="G795" s="16"/>
      <c r="H795" s="11" t="str">
        <f>IF(OR($A795="",$F795=""),"",IF($D795="Done",0,MAX(0,Overview!$B$3-$F795)))</f>
        <v/>
      </c>
    </row>
    <row r="796" spans="6:8" x14ac:dyDescent="0.25">
      <c r="F796" s="16"/>
      <c r="G796" s="16"/>
      <c r="H796" s="11" t="str">
        <f>IF(OR($A796="",$F796=""),"",IF($D796="Done",0,MAX(0,Overview!$B$3-$F796)))</f>
        <v/>
      </c>
    </row>
    <row r="797" spans="6:8" x14ac:dyDescent="0.25">
      <c r="F797" s="16"/>
      <c r="G797" s="16"/>
      <c r="H797" s="11" t="str">
        <f>IF(OR($A797="",$F797=""),"",IF($D797="Done",0,MAX(0,Overview!$B$3-$F797)))</f>
        <v/>
      </c>
    </row>
    <row r="798" spans="6:8" x14ac:dyDescent="0.25">
      <c r="F798" s="16"/>
      <c r="G798" s="16"/>
      <c r="H798" s="11" t="str">
        <f>IF(OR($A798="",$F798=""),"",IF($D798="Done",0,MAX(0,Overview!$B$3-$F798)))</f>
        <v/>
      </c>
    </row>
    <row r="799" spans="6:8" x14ac:dyDescent="0.25">
      <c r="F799" s="16"/>
      <c r="G799" s="16"/>
      <c r="H799" s="11" t="str">
        <f>IF(OR($A799="",$F799=""),"",IF($D799="Done",0,MAX(0,Overview!$B$3-$F799)))</f>
        <v/>
      </c>
    </row>
    <row r="800" spans="6:8" x14ac:dyDescent="0.25">
      <c r="F800" s="16"/>
      <c r="G800" s="16"/>
      <c r="H800" s="11" t="str">
        <f>IF(OR($A800="",$F800=""),"",IF($D800="Done",0,MAX(0,Overview!$B$3-$F800)))</f>
        <v/>
      </c>
    </row>
    <row r="801" spans="6:8" x14ac:dyDescent="0.25">
      <c r="F801" s="16"/>
      <c r="G801" s="16"/>
      <c r="H801" s="11" t="str">
        <f>IF(OR($A801="",$F801=""),"",IF($D801="Done",0,MAX(0,Overview!$B$3-$F801)))</f>
        <v/>
      </c>
    </row>
    <row r="802" spans="6:8" x14ac:dyDescent="0.25">
      <c r="F802" s="16"/>
      <c r="G802" s="16"/>
      <c r="H802" s="11" t="str">
        <f>IF(OR($A802="",$F802=""),"",IF($D802="Done",0,MAX(0,Overview!$B$3-$F802)))</f>
        <v/>
      </c>
    </row>
    <row r="803" spans="6:8" x14ac:dyDescent="0.25">
      <c r="F803" s="16"/>
      <c r="G803" s="16"/>
      <c r="H803" s="11" t="str">
        <f>IF(OR($A803="",$F803=""),"",IF($D803="Done",0,MAX(0,Overview!$B$3-$F803)))</f>
        <v/>
      </c>
    </row>
    <row r="804" spans="6:8" x14ac:dyDescent="0.25">
      <c r="F804" s="16"/>
      <c r="G804" s="16"/>
      <c r="H804" s="11" t="str">
        <f>IF(OR($A804="",$F804=""),"",IF($D804="Done",0,MAX(0,Overview!$B$3-$F804)))</f>
        <v/>
      </c>
    </row>
    <row r="805" spans="6:8" x14ac:dyDescent="0.25">
      <c r="F805" s="16"/>
      <c r="G805" s="16"/>
      <c r="H805" s="11" t="str">
        <f>IF(OR($A805="",$F805=""),"",IF($D805="Done",0,MAX(0,Overview!$B$3-$F805)))</f>
        <v/>
      </c>
    </row>
    <row r="806" spans="6:8" x14ac:dyDescent="0.25">
      <c r="F806" s="16"/>
      <c r="G806" s="16"/>
      <c r="H806" s="11" t="str">
        <f>IF(OR($A806="",$F806=""),"",IF($D806="Done",0,MAX(0,Overview!$B$3-$F806)))</f>
        <v/>
      </c>
    </row>
    <row r="807" spans="6:8" x14ac:dyDescent="0.25">
      <c r="F807" s="16"/>
      <c r="G807" s="16"/>
      <c r="H807" s="11" t="str">
        <f>IF(OR($A807="",$F807=""),"",IF($D807="Done",0,MAX(0,Overview!$B$3-$F807)))</f>
        <v/>
      </c>
    </row>
    <row r="808" spans="6:8" x14ac:dyDescent="0.25">
      <c r="F808" s="16"/>
      <c r="G808" s="16"/>
      <c r="H808" s="11" t="str">
        <f>IF(OR($A808="",$F808=""),"",IF($D808="Done",0,MAX(0,Overview!$B$3-$F808)))</f>
        <v/>
      </c>
    </row>
    <row r="809" spans="6:8" x14ac:dyDescent="0.25">
      <c r="F809" s="16"/>
      <c r="G809" s="16"/>
      <c r="H809" s="11" t="str">
        <f>IF(OR($A809="",$F809=""),"",IF($D809="Done",0,MAX(0,Overview!$B$3-$F809)))</f>
        <v/>
      </c>
    </row>
    <row r="810" spans="6:8" x14ac:dyDescent="0.25">
      <c r="F810" s="16"/>
      <c r="G810" s="16"/>
      <c r="H810" s="11" t="str">
        <f>IF(OR($A810="",$F810=""),"",IF($D810="Done",0,MAX(0,Overview!$B$3-$F810)))</f>
        <v/>
      </c>
    </row>
    <row r="811" spans="6:8" x14ac:dyDescent="0.25">
      <c r="F811" s="16"/>
      <c r="G811" s="16"/>
      <c r="H811" s="11" t="str">
        <f>IF(OR($A811="",$F811=""),"",IF($D811="Done",0,MAX(0,Overview!$B$3-$F811)))</f>
        <v/>
      </c>
    </row>
    <row r="812" spans="6:8" x14ac:dyDescent="0.25">
      <c r="F812" s="16"/>
      <c r="G812" s="16"/>
      <c r="H812" s="11" t="str">
        <f>IF(OR($A812="",$F812=""),"",IF($D812="Done",0,MAX(0,Overview!$B$3-$F812)))</f>
        <v/>
      </c>
    </row>
    <row r="813" spans="6:8" x14ac:dyDescent="0.25">
      <c r="F813" s="16"/>
      <c r="G813" s="16"/>
      <c r="H813" s="11" t="str">
        <f>IF(OR($A813="",$F813=""),"",IF($D813="Done",0,MAX(0,Overview!$B$3-$F813)))</f>
        <v/>
      </c>
    </row>
    <row r="814" spans="6:8" x14ac:dyDescent="0.25">
      <c r="F814" s="16"/>
      <c r="G814" s="16"/>
      <c r="H814" s="11" t="str">
        <f>IF(OR($A814="",$F814=""),"",IF($D814="Done",0,MAX(0,Overview!$B$3-$F814)))</f>
        <v/>
      </c>
    </row>
    <row r="815" spans="6:8" x14ac:dyDescent="0.25">
      <c r="F815" s="16"/>
      <c r="G815" s="16"/>
      <c r="H815" s="11" t="str">
        <f>IF(OR($A815="",$F815=""),"",IF($D815="Done",0,MAX(0,Overview!$B$3-$F815)))</f>
        <v/>
      </c>
    </row>
    <row r="816" spans="6:8" x14ac:dyDescent="0.25">
      <c r="F816" s="16"/>
      <c r="G816" s="16"/>
      <c r="H816" s="11" t="str">
        <f>IF(OR($A816="",$F816=""),"",IF($D816="Done",0,MAX(0,Overview!$B$3-$F816)))</f>
        <v/>
      </c>
    </row>
    <row r="817" spans="6:8" x14ac:dyDescent="0.25">
      <c r="F817" s="16"/>
      <c r="G817" s="16"/>
      <c r="H817" s="11" t="str">
        <f>IF(OR($A817="",$F817=""),"",IF($D817="Done",0,MAX(0,Overview!$B$3-$F817)))</f>
        <v/>
      </c>
    </row>
    <row r="818" spans="6:8" x14ac:dyDescent="0.25">
      <c r="F818" s="16"/>
      <c r="G818" s="16"/>
      <c r="H818" s="11" t="str">
        <f>IF(OR($A818="",$F818=""),"",IF($D818="Done",0,MAX(0,Overview!$B$3-$F818)))</f>
        <v/>
      </c>
    </row>
    <row r="819" spans="6:8" x14ac:dyDescent="0.25">
      <c r="F819" s="16"/>
      <c r="G819" s="16"/>
      <c r="H819" s="11" t="str">
        <f>IF(OR($A819="",$F819=""),"",IF($D819="Done",0,MAX(0,Overview!$B$3-$F819)))</f>
        <v/>
      </c>
    </row>
    <row r="820" spans="6:8" x14ac:dyDescent="0.25">
      <c r="F820" s="16"/>
      <c r="G820" s="16"/>
      <c r="H820" s="11" t="str">
        <f>IF(OR($A820="",$F820=""),"",IF($D820="Done",0,MAX(0,Overview!$B$3-$F820)))</f>
        <v/>
      </c>
    </row>
    <row r="821" spans="6:8" x14ac:dyDescent="0.25">
      <c r="F821" s="16"/>
      <c r="G821" s="16"/>
      <c r="H821" s="11" t="str">
        <f>IF(OR($A821="",$F821=""),"",IF($D821="Done",0,MAX(0,Overview!$B$3-$F821)))</f>
        <v/>
      </c>
    </row>
    <row r="822" spans="6:8" x14ac:dyDescent="0.25">
      <c r="F822" s="16"/>
      <c r="G822" s="16"/>
      <c r="H822" s="11" t="str">
        <f>IF(OR($A822="",$F822=""),"",IF($D822="Done",0,MAX(0,Overview!$B$3-$F822)))</f>
        <v/>
      </c>
    </row>
    <row r="823" spans="6:8" x14ac:dyDescent="0.25">
      <c r="F823" s="16"/>
      <c r="G823" s="16"/>
      <c r="H823" s="11" t="str">
        <f>IF(OR($A823="",$F823=""),"",IF($D823="Done",0,MAX(0,Overview!$B$3-$F823)))</f>
        <v/>
      </c>
    </row>
    <row r="824" spans="6:8" x14ac:dyDescent="0.25">
      <c r="F824" s="16"/>
      <c r="G824" s="16"/>
      <c r="H824" s="11" t="str">
        <f>IF(OR($A824="",$F824=""),"",IF($D824="Done",0,MAX(0,Overview!$B$3-$F824)))</f>
        <v/>
      </c>
    </row>
    <row r="825" spans="6:8" x14ac:dyDescent="0.25">
      <c r="F825" s="16"/>
      <c r="G825" s="16"/>
      <c r="H825" s="11" t="str">
        <f>IF(OR($A825="",$F825=""),"",IF($D825="Done",0,MAX(0,Overview!$B$3-$F825)))</f>
        <v/>
      </c>
    </row>
    <row r="826" spans="6:8" x14ac:dyDescent="0.25">
      <c r="F826" s="16"/>
      <c r="G826" s="16"/>
      <c r="H826" s="11" t="str">
        <f>IF(OR($A826="",$F826=""),"",IF($D826="Done",0,MAX(0,Overview!$B$3-$F826)))</f>
        <v/>
      </c>
    </row>
    <row r="827" spans="6:8" x14ac:dyDescent="0.25">
      <c r="F827" s="16"/>
      <c r="G827" s="16"/>
      <c r="H827" s="11" t="str">
        <f>IF(OR($A827="",$F827=""),"",IF($D827="Done",0,MAX(0,Overview!$B$3-$F827)))</f>
        <v/>
      </c>
    </row>
    <row r="828" spans="6:8" x14ac:dyDescent="0.25">
      <c r="F828" s="16"/>
      <c r="G828" s="16"/>
      <c r="H828" s="11" t="str">
        <f>IF(OR($A828="",$F828=""),"",IF($D828="Done",0,MAX(0,Overview!$B$3-$F828)))</f>
        <v/>
      </c>
    </row>
    <row r="829" spans="6:8" x14ac:dyDescent="0.25">
      <c r="F829" s="16"/>
      <c r="G829" s="16"/>
      <c r="H829" s="11" t="str">
        <f>IF(OR($A829="",$F829=""),"",IF($D829="Done",0,MAX(0,Overview!$B$3-$F829)))</f>
        <v/>
      </c>
    </row>
    <row r="830" spans="6:8" x14ac:dyDescent="0.25">
      <c r="F830" s="16"/>
      <c r="G830" s="16"/>
      <c r="H830" s="11" t="str">
        <f>IF(OR($A830="",$F830=""),"",IF($D830="Done",0,MAX(0,Overview!$B$3-$F830)))</f>
        <v/>
      </c>
    </row>
    <row r="831" spans="6:8" x14ac:dyDescent="0.25">
      <c r="F831" s="16"/>
      <c r="G831" s="16"/>
      <c r="H831" s="11" t="str">
        <f>IF(OR($A831="",$F831=""),"",IF($D831="Done",0,MAX(0,Overview!$B$3-$F831)))</f>
        <v/>
      </c>
    </row>
    <row r="832" spans="6:8" x14ac:dyDescent="0.25">
      <c r="F832" s="16"/>
      <c r="G832" s="16"/>
      <c r="H832" s="11" t="str">
        <f>IF(OR($A832="",$F832=""),"",IF($D832="Done",0,MAX(0,Overview!$B$3-$F832)))</f>
        <v/>
      </c>
    </row>
    <row r="833" spans="6:8" x14ac:dyDescent="0.25">
      <c r="F833" s="16"/>
      <c r="G833" s="16"/>
      <c r="H833" s="11" t="str">
        <f>IF(OR($A833="",$F833=""),"",IF($D833="Done",0,MAX(0,Overview!$B$3-$F833)))</f>
        <v/>
      </c>
    </row>
    <row r="834" spans="6:8" x14ac:dyDescent="0.25">
      <c r="F834" s="16"/>
      <c r="G834" s="16"/>
      <c r="H834" s="11" t="str">
        <f>IF(OR($A834="",$F834=""),"",IF($D834="Done",0,MAX(0,Overview!$B$3-$F834)))</f>
        <v/>
      </c>
    </row>
    <row r="835" spans="6:8" x14ac:dyDescent="0.25">
      <c r="F835" s="16"/>
      <c r="G835" s="16"/>
      <c r="H835" s="11" t="str">
        <f>IF(OR($A835="",$F835=""),"",IF($D835="Done",0,MAX(0,Overview!$B$3-$F835)))</f>
        <v/>
      </c>
    </row>
    <row r="836" spans="6:8" x14ac:dyDescent="0.25">
      <c r="F836" s="16"/>
      <c r="G836" s="16"/>
      <c r="H836" s="11" t="str">
        <f>IF(OR($A836="",$F836=""),"",IF($D836="Done",0,MAX(0,Overview!$B$3-$F836)))</f>
        <v/>
      </c>
    </row>
    <row r="837" spans="6:8" x14ac:dyDescent="0.25">
      <c r="F837" s="16"/>
      <c r="G837" s="16"/>
      <c r="H837" s="11" t="str">
        <f>IF(OR($A837="",$F837=""),"",IF($D837="Done",0,MAX(0,Overview!$B$3-$F837)))</f>
        <v/>
      </c>
    </row>
    <row r="838" spans="6:8" x14ac:dyDescent="0.25">
      <c r="F838" s="16"/>
      <c r="G838" s="16"/>
      <c r="H838" s="11" t="str">
        <f>IF(OR($A838="",$F838=""),"",IF($D838="Done",0,MAX(0,Overview!$B$3-$F838)))</f>
        <v/>
      </c>
    </row>
    <row r="839" spans="6:8" x14ac:dyDescent="0.25">
      <c r="F839" s="16"/>
      <c r="G839" s="16"/>
      <c r="H839" s="11" t="str">
        <f>IF(OR($A839="",$F839=""),"",IF($D839="Done",0,MAX(0,Overview!$B$3-$F839)))</f>
        <v/>
      </c>
    </row>
    <row r="840" spans="6:8" x14ac:dyDescent="0.25">
      <c r="F840" s="16"/>
      <c r="G840" s="16"/>
      <c r="H840" s="11" t="str">
        <f>IF(OR($A840="",$F840=""),"",IF($D840="Done",0,MAX(0,Overview!$B$3-$F840)))</f>
        <v/>
      </c>
    </row>
    <row r="841" spans="6:8" x14ac:dyDescent="0.25">
      <c r="F841" s="16"/>
      <c r="G841" s="16"/>
      <c r="H841" s="11" t="str">
        <f>IF(OR($A841="",$F841=""),"",IF($D841="Done",0,MAX(0,Overview!$B$3-$F841)))</f>
        <v/>
      </c>
    </row>
    <row r="842" spans="6:8" x14ac:dyDescent="0.25">
      <c r="F842" s="16"/>
      <c r="G842" s="16"/>
      <c r="H842" s="11" t="str">
        <f>IF(OR($A842="",$F842=""),"",IF($D842="Done",0,MAX(0,Overview!$B$3-$F842)))</f>
        <v/>
      </c>
    </row>
    <row r="843" spans="6:8" x14ac:dyDescent="0.25">
      <c r="F843" s="16"/>
      <c r="G843" s="16"/>
      <c r="H843" s="11" t="str">
        <f>IF(OR($A843="",$F843=""),"",IF($D843="Done",0,MAX(0,Overview!$B$3-$F843)))</f>
        <v/>
      </c>
    </row>
    <row r="844" spans="6:8" x14ac:dyDescent="0.25">
      <c r="F844" s="16"/>
      <c r="G844" s="16"/>
      <c r="H844" s="11" t="str">
        <f>IF(OR($A844="",$F844=""),"",IF($D844="Done",0,MAX(0,Overview!$B$3-$F844)))</f>
        <v/>
      </c>
    </row>
    <row r="845" spans="6:8" x14ac:dyDescent="0.25">
      <c r="F845" s="16"/>
      <c r="G845" s="16"/>
      <c r="H845" s="11" t="str">
        <f>IF(OR($A845="",$F845=""),"",IF($D845="Done",0,MAX(0,Overview!$B$3-$F845)))</f>
        <v/>
      </c>
    </row>
    <row r="846" spans="6:8" x14ac:dyDescent="0.25">
      <c r="F846" s="16"/>
      <c r="G846" s="16"/>
      <c r="H846" s="11" t="str">
        <f>IF(OR($A846="",$F846=""),"",IF($D846="Done",0,MAX(0,Overview!$B$3-$F846)))</f>
        <v/>
      </c>
    </row>
    <row r="847" spans="6:8" x14ac:dyDescent="0.25">
      <c r="F847" s="16"/>
      <c r="G847" s="16"/>
      <c r="H847" s="11" t="str">
        <f>IF(OR($A847="",$F847=""),"",IF($D847="Done",0,MAX(0,Overview!$B$3-$F847)))</f>
        <v/>
      </c>
    </row>
    <row r="848" spans="6:8" x14ac:dyDescent="0.25">
      <c r="F848" s="16"/>
      <c r="G848" s="16"/>
      <c r="H848" s="11" t="str">
        <f>IF(OR($A848="",$F848=""),"",IF($D848="Done",0,MAX(0,Overview!$B$3-$F848)))</f>
        <v/>
      </c>
    </row>
    <row r="849" spans="6:8" x14ac:dyDescent="0.25">
      <c r="F849" s="16"/>
      <c r="G849" s="16"/>
      <c r="H849" s="11" t="str">
        <f>IF(OR($A849="",$F849=""),"",IF($D849="Done",0,MAX(0,Overview!$B$3-$F849)))</f>
        <v/>
      </c>
    </row>
    <row r="850" spans="6:8" x14ac:dyDescent="0.25">
      <c r="F850" s="16"/>
      <c r="G850" s="16"/>
      <c r="H850" s="11" t="str">
        <f>IF(OR($A850="",$F850=""),"",IF($D850="Done",0,MAX(0,Overview!$B$3-$F850)))</f>
        <v/>
      </c>
    </row>
    <row r="851" spans="6:8" x14ac:dyDescent="0.25">
      <c r="F851" s="16"/>
      <c r="G851" s="16"/>
      <c r="H851" s="11" t="str">
        <f>IF(OR($A851="",$F851=""),"",IF($D851="Done",0,MAX(0,Overview!$B$3-$F851)))</f>
        <v/>
      </c>
    </row>
    <row r="852" spans="6:8" x14ac:dyDescent="0.25">
      <c r="F852" s="16"/>
      <c r="G852" s="16"/>
      <c r="H852" s="11" t="str">
        <f>IF(OR($A852="",$F852=""),"",IF($D852="Done",0,MAX(0,Overview!$B$3-$F852)))</f>
        <v/>
      </c>
    </row>
    <row r="853" spans="6:8" x14ac:dyDescent="0.25">
      <c r="F853" s="16"/>
      <c r="G853" s="16"/>
      <c r="H853" s="11" t="str">
        <f>IF(OR($A853="",$F853=""),"",IF($D853="Done",0,MAX(0,Overview!$B$3-$F853)))</f>
        <v/>
      </c>
    </row>
    <row r="854" spans="6:8" x14ac:dyDescent="0.25">
      <c r="F854" s="16"/>
      <c r="G854" s="16"/>
      <c r="H854" s="11" t="str">
        <f>IF(OR($A854="",$F854=""),"",IF($D854="Done",0,MAX(0,Overview!$B$3-$F854)))</f>
        <v/>
      </c>
    </row>
    <row r="855" spans="6:8" x14ac:dyDescent="0.25">
      <c r="F855" s="16"/>
      <c r="G855" s="16"/>
      <c r="H855" s="11" t="str">
        <f>IF(OR($A855="",$F855=""),"",IF($D855="Done",0,MAX(0,Overview!$B$3-$F855)))</f>
        <v/>
      </c>
    </row>
    <row r="856" spans="6:8" x14ac:dyDescent="0.25">
      <c r="F856" s="16"/>
      <c r="G856" s="16"/>
      <c r="H856" s="11" t="str">
        <f>IF(OR($A856="",$F856=""),"",IF($D856="Done",0,MAX(0,Overview!$B$3-$F856)))</f>
        <v/>
      </c>
    </row>
    <row r="857" spans="6:8" x14ac:dyDescent="0.25">
      <c r="F857" s="16"/>
      <c r="G857" s="16"/>
      <c r="H857" s="11" t="str">
        <f>IF(OR($A857="",$F857=""),"",IF($D857="Done",0,MAX(0,Overview!$B$3-$F857)))</f>
        <v/>
      </c>
    </row>
    <row r="858" spans="6:8" x14ac:dyDescent="0.25">
      <c r="F858" s="16"/>
      <c r="G858" s="16"/>
      <c r="H858" s="11" t="str">
        <f>IF(OR($A858="",$F858=""),"",IF($D858="Done",0,MAX(0,Overview!$B$3-$F858)))</f>
        <v/>
      </c>
    </row>
    <row r="859" spans="6:8" x14ac:dyDescent="0.25">
      <c r="F859" s="16"/>
      <c r="G859" s="16"/>
      <c r="H859" s="11" t="str">
        <f>IF(OR($A859="",$F859=""),"",IF($D859="Done",0,MAX(0,Overview!$B$3-$F859)))</f>
        <v/>
      </c>
    </row>
    <row r="860" spans="6:8" x14ac:dyDescent="0.25">
      <c r="F860" s="16"/>
      <c r="G860" s="16"/>
      <c r="H860" s="11" t="str">
        <f>IF(OR($A860="",$F860=""),"",IF($D860="Done",0,MAX(0,Overview!$B$3-$F860)))</f>
        <v/>
      </c>
    </row>
    <row r="861" spans="6:8" x14ac:dyDescent="0.25">
      <c r="F861" s="16"/>
      <c r="G861" s="16"/>
      <c r="H861" s="11" t="str">
        <f>IF(OR($A861="",$F861=""),"",IF($D861="Done",0,MAX(0,Overview!$B$3-$F861)))</f>
        <v/>
      </c>
    </row>
    <row r="862" spans="6:8" x14ac:dyDescent="0.25">
      <c r="F862" s="16"/>
      <c r="G862" s="16"/>
      <c r="H862" s="11" t="str">
        <f>IF(OR($A862="",$F862=""),"",IF($D862="Done",0,MAX(0,Overview!$B$3-$F862)))</f>
        <v/>
      </c>
    </row>
    <row r="863" spans="6:8" x14ac:dyDescent="0.25">
      <c r="F863" s="16"/>
      <c r="G863" s="16"/>
      <c r="H863" s="11" t="str">
        <f>IF(OR($A863="",$F863=""),"",IF($D863="Done",0,MAX(0,Overview!$B$3-$F863)))</f>
        <v/>
      </c>
    </row>
    <row r="864" spans="6:8" x14ac:dyDescent="0.25">
      <c r="F864" s="16"/>
      <c r="G864" s="16"/>
      <c r="H864" s="11" t="str">
        <f>IF(OR($A864="",$F864=""),"",IF($D864="Done",0,MAX(0,Overview!$B$3-$F864)))</f>
        <v/>
      </c>
    </row>
    <row r="865" spans="6:8" x14ac:dyDescent="0.25">
      <c r="F865" s="16"/>
      <c r="G865" s="16"/>
      <c r="H865" s="11" t="str">
        <f>IF(OR($A865="",$F865=""),"",IF($D865="Done",0,MAX(0,Overview!$B$3-$F865)))</f>
        <v/>
      </c>
    </row>
    <row r="866" spans="6:8" x14ac:dyDescent="0.25">
      <c r="F866" s="16"/>
      <c r="G866" s="16"/>
      <c r="H866" s="11" t="str">
        <f>IF(OR($A866="",$F866=""),"",IF($D866="Done",0,MAX(0,Overview!$B$3-$F866)))</f>
        <v/>
      </c>
    </row>
    <row r="867" spans="6:8" x14ac:dyDescent="0.25">
      <c r="F867" s="16"/>
      <c r="G867" s="16"/>
      <c r="H867" s="11" t="str">
        <f>IF(OR($A867="",$F867=""),"",IF($D867="Done",0,MAX(0,Overview!$B$3-$F867)))</f>
        <v/>
      </c>
    </row>
    <row r="868" spans="6:8" x14ac:dyDescent="0.25">
      <c r="F868" s="16"/>
      <c r="G868" s="16"/>
      <c r="H868" s="11" t="str">
        <f>IF(OR($A868="",$F868=""),"",IF($D868="Done",0,MAX(0,Overview!$B$3-$F868)))</f>
        <v/>
      </c>
    </row>
    <row r="869" spans="6:8" x14ac:dyDescent="0.25">
      <c r="F869" s="16"/>
      <c r="G869" s="16"/>
      <c r="H869" s="11" t="str">
        <f>IF(OR($A869="",$F869=""),"",IF($D869="Done",0,MAX(0,Overview!$B$3-$F869)))</f>
        <v/>
      </c>
    </row>
    <row r="870" spans="6:8" x14ac:dyDescent="0.25">
      <c r="F870" s="16"/>
      <c r="G870" s="16"/>
      <c r="H870" s="11" t="str">
        <f>IF(OR($A870="",$F870=""),"",IF($D870="Done",0,MAX(0,Overview!$B$3-$F870)))</f>
        <v/>
      </c>
    </row>
    <row r="871" spans="6:8" x14ac:dyDescent="0.25">
      <c r="F871" s="16"/>
      <c r="G871" s="16"/>
      <c r="H871" s="11" t="str">
        <f>IF(OR($A871="",$F871=""),"",IF($D871="Done",0,MAX(0,Overview!$B$3-$F871)))</f>
        <v/>
      </c>
    </row>
    <row r="872" spans="6:8" x14ac:dyDescent="0.25">
      <c r="F872" s="16"/>
      <c r="G872" s="16"/>
      <c r="H872" s="11" t="str">
        <f>IF(OR($A872="",$F872=""),"",IF($D872="Done",0,MAX(0,Overview!$B$3-$F872)))</f>
        <v/>
      </c>
    </row>
    <row r="873" spans="6:8" x14ac:dyDescent="0.25">
      <c r="F873" s="16"/>
      <c r="G873" s="16"/>
      <c r="H873" s="11" t="str">
        <f>IF(OR($A873="",$F873=""),"",IF($D873="Done",0,MAX(0,Overview!$B$3-$F873)))</f>
        <v/>
      </c>
    </row>
    <row r="874" spans="6:8" x14ac:dyDescent="0.25">
      <c r="F874" s="16"/>
      <c r="G874" s="16"/>
      <c r="H874" s="11" t="str">
        <f>IF(OR($A874="",$F874=""),"",IF($D874="Done",0,MAX(0,Overview!$B$3-$F874)))</f>
        <v/>
      </c>
    </row>
    <row r="875" spans="6:8" x14ac:dyDescent="0.25">
      <c r="F875" s="16"/>
      <c r="G875" s="16"/>
      <c r="H875" s="11" t="str">
        <f>IF(OR($A875="",$F875=""),"",IF($D875="Done",0,MAX(0,Overview!$B$3-$F875)))</f>
        <v/>
      </c>
    </row>
    <row r="876" spans="6:8" x14ac:dyDescent="0.25">
      <c r="F876" s="16"/>
      <c r="G876" s="16"/>
      <c r="H876" s="11" t="str">
        <f>IF(OR($A876="",$F876=""),"",IF($D876="Done",0,MAX(0,Overview!$B$3-$F876)))</f>
        <v/>
      </c>
    </row>
    <row r="877" spans="6:8" x14ac:dyDescent="0.25">
      <c r="F877" s="16"/>
      <c r="G877" s="16"/>
      <c r="H877" s="11" t="str">
        <f>IF(OR($A877="",$F877=""),"",IF($D877="Done",0,MAX(0,Overview!$B$3-$F877)))</f>
        <v/>
      </c>
    </row>
    <row r="878" spans="6:8" x14ac:dyDescent="0.25">
      <c r="F878" s="16"/>
      <c r="G878" s="16"/>
      <c r="H878" s="11" t="str">
        <f>IF(OR($A878="",$F878=""),"",IF($D878="Done",0,MAX(0,Overview!$B$3-$F878)))</f>
        <v/>
      </c>
    </row>
    <row r="879" spans="6:8" x14ac:dyDescent="0.25">
      <c r="F879" s="16"/>
      <c r="G879" s="16"/>
      <c r="H879" s="11" t="str">
        <f>IF(OR($A879="",$F879=""),"",IF($D879="Done",0,MAX(0,Overview!$B$3-$F879)))</f>
        <v/>
      </c>
    </row>
    <row r="880" spans="6:8" x14ac:dyDescent="0.25">
      <c r="F880" s="16"/>
      <c r="G880" s="16"/>
      <c r="H880" s="11" t="str">
        <f>IF(OR($A880="",$F880=""),"",IF($D880="Done",0,MAX(0,Overview!$B$3-$F880)))</f>
        <v/>
      </c>
    </row>
    <row r="881" spans="6:8" x14ac:dyDescent="0.25">
      <c r="F881" s="16"/>
      <c r="G881" s="16"/>
      <c r="H881" s="11" t="str">
        <f>IF(OR($A881="",$F881=""),"",IF($D881="Done",0,MAX(0,Overview!$B$3-$F881)))</f>
        <v/>
      </c>
    </row>
    <row r="882" spans="6:8" x14ac:dyDescent="0.25">
      <c r="F882" s="16"/>
      <c r="G882" s="16"/>
      <c r="H882" s="11" t="str">
        <f>IF(OR($A882="",$F882=""),"",IF($D882="Done",0,MAX(0,Overview!$B$3-$F882)))</f>
        <v/>
      </c>
    </row>
    <row r="883" spans="6:8" x14ac:dyDescent="0.25">
      <c r="F883" s="16"/>
      <c r="G883" s="16"/>
      <c r="H883" s="11" t="str">
        <f>IF(OR($A883="",$F883=""),"",IF($D883="Done",0,MAX(0,Overview!$B$3-$F883)))</f>
        <v/>
      </c>
    </row>
    <row r="884" spans="6:8" x14ac:dyDescent="0.25">
      <c r="F884" s="16"/>
      <c r="G884" s="16"/>
      <c r="H884" s="11" t="str">
        <f>IF(OR($A884="",$F884=""),"",IF($D884="Done",0,MAX(0,Overview!$B$3-$F884)))</f>
        <v/>
      </c>
    </row>
    <row r="885" spans="6:8" x14ac:dyDescent="0.25">
      <c r="F885" s="16"/>
      <c r="G885" s="16"/>
      <c r="H885" s="11" t="str">
        <f>IF(OR($A885="",$F885=""),"",IF($D885="Done",0,MAX(0,Overview!$B$3-$F885)))</f>
        <v/>
      </c>
    </row>
    <row r="886" spans="6:8" x14ac:dyDescent="0.25">
      <c r="F886" s="16"/>
      <c r="G886" s="16"/>
      <c r="H886" s="11" t="str">
        <f>IF(OR($A886="",$F886=""),"",IF($D886="Done",0,MAX(0,Overview!$B$3-$F886)))</f>
        <v/>
      </c>
    </row>
    <row r="887" spans="6:8" x14ac:dyDescent="0.25">
      <c r="F887" s="16"/>
      <c r="G887" s="16"/>
      <c r="H887" s="11" t="str">
        <f>IF(OR($A887="",$F887=""),"",IF($D887="Done",0,MAX(0,Overview!$B$3-$F887)))</f>
        <v/>
      </c>
    </row>
    <row r="888" spans="6:8" x14ac:dyDescent="0.25">
      <c r="F888" s="16"/>
      <c r="G888" s="16"/>
      <c r="H888" s="11" t="str">
        <f>IF(OR($A888="",$F888=""),"",IF($D888="Done",0,MAX(0,Overview!$B$3-$F888)))</f>
        <v/>
      </c>
    </row>
    <row r="889" spans="6:8" x14ac:dyDescent="0.25">
      <c r="F889" s="16"/>
      <c r="G889" s="16"/>
      <c r="H889" s="11" t="str">
        <f>IF(OR($A889="",$F889=""),"",IF($D889="Done",0,MAX(0,Overview!$B$3-$F889)))</f>
        <v/>
      </c>
    </row>
    <row r="890" spans="6:8" x14ac:dyDescent="0.25">
      <c r="F890" s="16"/>
      <c r="G890" s="16"/>
      <c r="H890" s="11" t="str">
        <f>IF(OR($A890="",$F890=""),"",IF($D890="Done",0,MAX(0,Overview!$B$3-$F890)))</f>
        <v/>
      </c>
    </row>
    <row r="891" spans="6:8" x14ac:dyDescent="0.25">
      <c r="F891" s="16"/>
      <c r="G891" s="16"/>
      <c r="H891" s="11" t="str">
        <f>IF(OR($A891="",$F891=""),"",IF($D891="Done",0,MAX(0,Overview!$B$3-$F891)))</f>
        <v/>
      </c>
    </row>
    <row r="892" spans="6:8" x14ac:dyDescent="0.25">
      <c r="F892" s="16"/>
      <c r="G892" s="16"/>
      <c r="H892" s="11" t="str">
        <f>IF(OR($A892="",$F892=""),"",IF($D892="Done",0,MAX(0,Overview!$B$3-$F892)))</f>
        <v/>
      </c>
    </row>
    <row r="893" spans="6:8" x14ac:dyDescent="0.25">
      <c r="F893" s="16"/>
      <c r="G893" s="16"/>
      <c r="H893" s="11" t="str">
        <f>IF(OR($A893="",$F893=""),"",IF($D893="Done",0,MAX(0,Overview!$B$3-$F893)))</f>
        <v/>
      </c>
    </row>
    <row r="894" spans="6:8" x14ac:dyDescent="0.25">
      <c r="F894" s="16"/>
      <c r="G894" s="16"/>
      <c r="H894" s="11" t="str">
        <f>IF(OR($A894="",$F894=""),"",IF($D894="Done",0,MAX(0,Overview!$B$3-$F894)))</f>
        <v/>
      </c>
    </row>
    <row r="895" spans="6:8" x14ac:dyDescent="0.25">
      <c r="F895" s="16"/>
      <c r="G895" s="16"/>
      <c r="H895" s="11" t="str">
        <f>IF(OR($A895="",$F895=""),"",IF($D895="Done",0,MAX(0,Overview!$B$3-$F895)))</f>
        <v/>
      </c>
    </row>
    <row r="896" spans="6:8" x14ac:dyDescent="0.25">
      <c r="F896" s="16"/>
      <c r="G896" s="16"/>
      <c r="H896" s="11" t="str">
        <f>IF(OR($A896="",$F896=""),"",IF($D896="Done",0,MAX(0,Overview!$B$3-$F896)))</f>
        <v/>
      </c>
    </row>
    <row r="897" spans="6:8" x14ac:dyDescent="0.25">
      <c r="F897" s="16"/>
      <c r="G897" s="16"/>
      <c r="H897" s="11" t="str">
        <f>IF(OR($A897="",$F897=""),"",IF($D897="Done",0,MAX(0,Overview!$B$3-$F897)))</f>
        <v/>
      </c>
    </row>
    <row r="898" spans="6:8" x14ac:dyDescent="0.25">
      <c r="F898" s="16"/>
      <c r="G898" s="16"/>
      <c r="H898" s="11" t="str">
        <f>IF(OR($A898="",$F898=""),"",IF($D898="Done",0,MAX(0,Overview!$B$3-$F898)))</f>
        <v/>
      </c>
    </row>
    <row r="899" spans="6:8" x14ac:dyDescent="0.25">
      <c r="F899" s="16"/>
      <c r="G899" s="16"/>
      <c r="H899" s="11" t="str">
        <f>IF(OR($A899="",$F899=""),"",IF($D899="Done",0,MAX(0,Overview!$B$3-$F899)))</f>
        <v/>
      </c>
    </row>
    <row r="900" spans="6:8" x14ac:dyDescent="0.25">
      <c r="F900" s="16"/>
      <c r="G900" s="16"/>
      <c r="H900" s="11" t="str">
        <f>IF(OR($A900="",$F900=""),"",IF($D900="Done",0,MAX(0,Overview!$B$3-$F900)))</f>
        <v/>
      </c>
    </row>
    <row r="901" spans="6:8" x14ac:dyDescent="0.25">
      <c r="F901" s="16"/>
      <c r="G901" s="16"/>
      <c r="H901" s="11" t="str">
        <f>IF(OR($A901="",$F901=""),"",IF($D901="Done",0,MAX(0,Overview!$B$3-$F901)))</f>
        <v/>
      </c>
    </row>
    <row r="902" spans="6:8" x14ac:dyDescent="0.25">
      <c r="F902" s="16"/>
      <c r="G902" s="16"/>
      <c r="H902" s="11" t="str">
        <f>IF(OR($A902="",$F902=""),"",IF($D902="Done",0,MAX(0,Overview!$B$3-$F902)))</f>
        <v/>
      </c>
    </row>
    <row r="903" spans="6:8" x14ac:dyDescent="0.25">
      <c r="F903" s="16"/>
      <c r="G903" s="16"/>
      <c r="H903" s="11" t="str">
        <f>IF(OR($A903="",$F903=""),"",IF($D903="Done",0,MAX(0,Overview!$B$3-$F903)))</f>
        <v/>
      </c>
    </row>
    <row r="904" spans="6:8" x14ac:dyDescent="0.25">
      <c r="F904" s="16"/>
      <c r="G904" s="16"/>
      <c r="H904" s="11" t="str">
        <f>IF(OR($A904="",$F904=""),"",IF($D904="Done",0,MAX(0,Overview!$B$3-$F904)))</f>
        <v/>
      </c>
    </row>
    <row r="905" spans="6:8" x14ac:dyDescent="0.25">
      <c r="F905" s="16"/>
      <c r="G905" s="16"/>
      <c r="H905" s="11" t="str">
        <f>IF(OR($A905="",$F905=""),"",IF($D905="Done",0,MAX(0,Overview!$B$3-$F905)))</f>
        <v/>
      </c>
    </row>
    <row r="906" spans="6:8" x14ac:dyDescent="0.25">
      <c r="F906" s="16"/>
      <c r="G906" s="16"/>
      <c r="H906" s="11" t="str">
        <f>IF(OR($A906="",$F906=""),"",IF($D906="Done",0,MAX(0,Overview!$B$3-$F906)))</f>
        <v/>
      </c>
    </row>
    <row r="907" spans="6:8" x14ac:dyDescent="0.25">
      <c r="F907" s="16"/>
      <c r="G907" s="16"/>
      <c r="H907" s="11" t="str">
        <f>IF(OR($A907="",$F907=""),"",IF($D907="Done",0,MAX(0,Overview!$B$3-$F907)))</f>
        <v/>
      </c>
    </row>
    <row r="908" spans="6:8" x14ac:dyDescent="0.25">
      <c r="F908" s="16"/>
      <c r="G908" s="16"/>
      <c r="H908" s="11" t="str">
        <f>IF(OR($A908="",$F908=""),"",IF($D908="Done",0,MAX(0,Overview!$B$3-$F908)))</f>
        <v/>
      </c>
    </row>
    <row r="909" spans="6:8" x14ac:dyDescent="0.25">
      <c r="F909" s="16"/>
      <c r="G909" s="16"/>
      <c r="H909" s="11" t="str">
        <f>IF(OR($A909="",$F909=""),"",IF($D909="Done",0,MAX(0,Overview!$B$3-$F909)))</f>
        <v/>
      </c>
    </row>
    <row r="910" spans="6:8" x14ac:dyDescent="0.25">
      <c r="F910" s="16"/>
      <c r="G910" s="16"/>
      <c r="H910" s="11" t="str">
        <f>IF(OR($A910="",$F910=""),"",IF($D910="Done",0,MAX(0,Overview!$B$3-$F910)))</f>
        <v/>
      </c>
    </row>
    <row r="911" spans="6:8" x14ac:dyDescent="0.25">
      <c r="F911" s="16"/>
      <c r="G911" s="16"/>
      <c r="H911" s="11" t="str">
        <f>IF(OR($A911="",$F911=""),"",IF($D911="Done",0,MAX(0,Overview!$B$3-$F911)))</f>
        <v/>
      </c>
    </row>
    <row r="912" spans="6:8" x14ac:dyDescent="0.25">
      <c r="F912" s="16"/>
      <c r="G912" s="16"/>
      <c r="H912" s="11" t="str">
        <f>IF(OR($A912="",$F912=""),"",IF($D912="Done",0,MAX(0,Overview!$B$3-$F912)))</f>
        <v/>
      </c>
    </row>
    <row r="913" spans="6:8" x14ac:dyDescent="0.25">
      <c r="F913" s="16"/>
      <c r="G913" s="16"/>
      <c r="H913" s="11" t="str">
        <f>IF(OR($A913="",$F913=""),"",IF($D913="Done",0,MAX(0,Overview!$B$3-$F913)))</f>
        <v/>
      </c>
    </row>
    <row r="914" spans="6:8" x14ac:dyDescent="0.25">
      <c r="F914" s="16"/>
      <c r="G914" s="16"/>
      <c r="H914" s="11" t="str">
        <f>IF(OR($A914="",$F914=""),"",IF($D914="Done",0,MAX(0,Overview!$B$3-$F914)))</f>
        <v/>
      </c>
    </row>
    <row r="915" spans="6:8" x14ac:dyDescent="0.25">
      <c r="F915" s="16"/>
      <c r="G915" s="16"/>
      <c r="H915" s="11" t="str">
        <f>IF(OR($A915="",$F915=""),"",IF($D915="Done",0,MAX(0,Overview!$B$3-$F915)))</f>
        <v/>
      </c>
    </row>
    <row r="916" spans="6:8" x14ac:dyDescent="0.25">
      <c r="F916" s="16"/>
      <c r="G916" s="16"/>
      <c r="H916" s="11" t="str">
        <f>IF(OR($A916="",$F916=""),"",IF($D916="Done",0,MAX(0,Overview!$B$3-$F916)))</f>
        <v/>
      </c>
    </row>
    <row r="917" spans="6:8" x14ac:dyDescent="0.25">
      <c r="F917" s="16"/>
      <c r="G917" s="16"/>
      <c r="H917" s="11" t="str">
        <f>IF(OR($A917="",$F917=""),"",IF($D917="Done",0,MAX(0,Overview!$B$3-$F917)))</f>
        <v/>
      </c>
    </row>
    <row r="918" spans="6:8" x14ac:dyDescent="0.25">
      <c r="F918" s="16"/>
      <c r="G918" s="16"/>
      <c r="H918" s="11" t="str">
        <f>IF(OR($A918="",$F918=""),"",IF($D918="Done",0,MAX(0,Overview!$B$3-$F918)))</f>
        <v/>
      </c>
    </row>
    <row r="919" spans="6:8" x14ac:dyDescent="0.25">
      <c r="F919" s="16"/>
      <c r="G919" s="16"/>
      <c r="H919" s="11" t="str">
        <f>IF(OR($A919="",$F919=""),"",IF($D919="Done",0,MAX(0,Overview!$B$3-$F919)))</f>
        <v/>
      </c>
    </row>
    <row r="920" spans="6:8" x14ac:dyDescent="0.25">
      <c r="F920" s="16"/>
      <c r="G920" s="16"/>
      <c r="H920" s="11" t="str">
        <f>IF(OR($A920="",$F920=""),"",IF($D920="Done",0,MAX(0,Overview!$B$3-$F920)))</f>
        <v/>
      </c>
    </row>
    <row r="921" spans="6:8" x14ac:dyDescent="0.25">
      <c r="F921" s="16"/>
      <c r="G921" s="16"/>
      <c r="H921" s="11" t="str">
        <f>IF(OR($A921="",$F921=""),"",IF($D921="Done",0,MAX(0,Overview!$B$3-$F921)))</f>
        <v/>
      </c>
    </row>
    <row r="922" spans="6:8" x14ac:dyDescent="0.25">
      <c r="F922" s="16"/>
      <c r="G922" s="16"/>
      <c r="H922" s="11" t="str">
        <f>IF(OR($A922="",$F922=""),"",IF($D922="Done",0,MAX(0,Overview!$B$3-$F922)))</f>
        <v/>
      </c>
    </row>
    <row r="923" spans="6:8" x14ac:dyDescent="0.25">
      <c r="F923" s="16"/>
      <c r="G923" s="16"/>
      <c r="H923" s="11" t="str">
        <f>IF(OR($A923="",$F923=""),"",IF($D923="Done",0,MAX(0,Overview!$B$3-$F923)))</f>
        <v/>
      </c>
    </row>
    <row r="924" spans="6:8" x14ac:dyDescent="0.25">
      <c r="F924" s="16"/>
      <c r="G924" s="16"/>
      <c r="H924" s="11" t="str">
        <f>IF(OR($A924="",$F924=""),"",IF($D924="Done",0,MAX(0,Overview!$B$3-$F924)))</f>
        <v/>
      </c>
    </row>
    <row r="925" spans="6:8" x14ac:dyDescent="0.25">
      <c r="F925" s="16"/>
      <c r="G925" s="16"/>
      <c r="H925" s="11" t="str">
        <f>IF(OR($A925="",$F925=""),"",IF($D925="Done",0,MAX(0,Overview!$B$3-$F925)))</f>
        <v/>
      </c>
    </row>
    <row r="926" spans="6:8" x14ac:dyDescent="0.25">
      <c r="F926" s="16"/>
      <c r="G926" s="16"/>
      <c r="H926" s="11" t="str">
        <f>IF(OR($A926="",$F926=""),"",IF($D926="Done",0,MAX(0,Overview!$B$3-$F926)))</f>
        <v/>
      </c>
    </row>
    <row r="927" spans="6:8" x14ac:dyDescent="0.25">
      <c r="F927" s="16"/>
      <c r="G927" s="16"/>
      <c r="H927" s="11" t="str">
        <f>IF(OR($A927="",$F927=""),"",IF($D927="Done",0,MAX(0,Overview!$B$3-$F927)))</f>
        <v/>
      </c>
    </row>
    <row r="928" spans="6:8" x14ac:dyDescent="0.25">
      <c r="F928" s="16"/>
      <c r="G928" s="16"/>
      <c r="H928" s="11" t="str">
        <f>IF(OR($A928="",$F928=""),"",IF($D928="Done",0,MAX(0,Overview!$B$3-$F928)))</f>
        <v/>
      </c>
    </row>
    <row r="929" spans="6:8" x14ac:dyDescent="0.25">
      <c r="F929" s="16"/>
      <c r="G929" s="16"/>
      <c r="H929" s="11" t="str">
        <f>IF(OR($A929="",$F929=""),"",IF($D929="Done",0,MAX(0,Overview!$B$3-$F929)))</f>
        <v/>
      </c>
    </row>
    <row r="930" spans="6:8" x14ac:dyDescent="0.25">
      <c r="F930" s="16"/>
      <c r="G930" s="16"/>
      <c r="H930" s="11" t="str">
        <f>IF(OR($A930="",$F930=""),"",IF($D930="Done",0,MAX(0,Overview!$B$3-$F930)))</f>
        <v/>
      </c>
    </row>
    <row r="931" spans="6:8" x14ac:dyDescent="0.25">
      <c r="F931" s="16"/>
      <c r="G931" s="16"/>
      <c r="H931" s="11" t="str">
        <f>IF(OR($A931="",$F931=""),"",IF($D931="Done",0,MAX(0,Overview!$B$3-$F931)))</f>
        <v/>
      </c>
    </row>
    <row r="932" spans="6:8" x14ac:dyDescent="0.25">
      <c r="F932" s="16"/>
      <c r="G932" s="16"/>
      <c r="H932" s="11" t="str">
        <f>IF(OR($A932="",$F932=""),"",IF($D932="Done",0,MAX(0,Overview!$B$3-$F932)))</f>
        <v/>
      </c>
    </row>
    <row r="933" spans="6:8" x14ac:dyDescent="0.25">
      <c r="F933" s="16"/>
      <c r="G933" s="16"/>
      <c r="H933" s="11" t="str">
        <f>IF(OR($A933="",$F933=""),"",IF($D933="Done",0,MAX(0,Overview!$B$3-$F933)))</f>
        <v/>
      </c>
    </row>
    <row r="934" spans="6:8" x14ac:dyDescent="0.25">
      <c r="F934" s="16"/>
      <c r="G934" s="16"/>
      <c r="H934" s="11" t="str">
        <f>IF(OR($A934="",$F934=""),"",IF($D934="Done",0,MAX(0,Overview!$B$3-$F934)))</f>
        <v/>
      </c>
    </row>
    <row r="935" spans="6:8" x14ac:dyDescent="0.25">
      <c r="F935" s="16"/>
      <c r="G935" s="16"/>
      <c r="H935" s="11" t="str">
        <f>IF(OR($A935="",$F935=""),"",IF($D935="Done",0,MAX(0,Overview!$B$3-$F935)))</f>
        <v/>
      </c>
    </row>
    <row r="936" spans="6:8" x14ac:dyDescent="0.25">
      <c r="F936" s="16"/>
      <c r="G936" s="16"/>
      <c r="H936" s="11" t="str">
        <f>IF(OR($A936="",$F936=""),"",IF($D936="Done",0,MAX(0,Overview!$B$3-$F936)))</f>
        <v/>
      </c>
    </row>
    <row r="937" spans="6:8" x14ac:dyDescent="0.25">
      <c r="F937" s="16"/>
      <c r="G937" s="16"/>
      <c r="H937" s="11" t="str">
        <f>IF(OR($A937="",$F937=""),"",IF($D937="Done",0,MAX(0,Overview!$B$3-$F937)))</f>
        <v/>
      </c>
    </row>
    <row r="938" spans="6:8" x14ac:dyDescent="0.25">
      <c r="F938" s="16"/>
      <c r="G938" s="16"/>
      <c r="H938" s="11" t="str">
        <f>IF(OR($A938="",$F938=""),"",IF($D938="Done",0,MAX(0,Overview!$B$3-$F938)))</f>
        <v/>
      </c>
    </row>
    <row r="939" spans="6:8" x14ac:dyDescent="0.25">
      <c r="F939" s="16"/>
      <c r="G939" s="16"/>
      <c r="H939" s="11" t="str">
        <f>IF(OR($A939="",$F939=""),"",IF($D939="Done",0,MAX(0,Overview!$B$3-$F939)))</f>
        <v/>
      </c>
    </row>
    <row r="940" spans="6:8" x14ac:dyDescent="0.25">
      <c r="F940" s="16"/>
      <c r="G940" s="16"/>
      <c r="H940" s="11" t="str">
        <f>IF(OR($A940="",$F940=""),"",IF($D940="Done",0,MAX(0,Overview!$B$3-$F940)))</f>
        <v/>
      </c>
    </row>
    <row r="941" spans="6:8" x14ac:dyDescent="0.25">
      <c r="F941" s="16"/>
      <c r="G941" s="16"/>
      <c r="H941" s="11" t="str">
        <f>IF(OR($A941="",$F941=""),"",IF($D941="Done",0,MAX(0,Overview!$B$3-$F941)))</f>
        <v/>
      </c>
    </row>
    <row r="942" spans="6:8" x14ac:dyDescent="0.25">
      <c r="F942" s="16"/>
      <c r="G942" s="16"/>
      <c r="H942" s="11" t="str">
        <f>IF(OR($A942="",$F942=""),"",IF($D942="Done",0,MAX(0,Overview!$B$3-$F942)))</f>
        <v/>
      </c>
    </row>
    <row r="943" spans="6:8" x14ac:dyDescent="0.25">
      <c r="F943" s="16"/>
      <c r="G943" s="16"/>
      <c r="H943" s="11" t="str">
        <f>IF(OR($A943="",$F943=""),"",IF($D943="Done",0,MAX(0,Overview!$B$3-$F943)))</f>
        <v/>
      </c>
    </row>
    <row r="944" spans="6:8" x14ac:dyDescent="0.25">
      <c r="F944" s="16"/>
      <c r="G944" s="16"/>
      <c r="H944" s="11" t="str">
        <f>IF(OR($A944="",$F944=""),"",IF($D944="Done",0,MAX(0,Overview!$B$3-$F944)))</f>
        <v/>
      </c>
    </row>
    <row r="945" spans="6:8" x14ac:dyDescent="0.25">
      <c r="F945" s="16"/>
      <c r="G945" s="16"/>
      <c r="H945" s="11" t="str">
        <f>IF(OR($A945="",$F945=""),"",IF($D945="Done",0,MAX(0,Overview!$B$3-$F945)))</f>
        <v/>
      </c>
    </row>
    <row r="946" spans="6:8" x14ac:dyDescent="0.25">
      <c r="F946" s="16"/>
      <c r="G946" s="16"/>
      <c r="H946" s="11" t="str">
        <f>IF(OR($A946="",$F946=""),"",IF($D946="Done",0,MAX(0,Overview!$B$3-$F946)))</f>
        <v/>
      </c>
    </row>
    <row r="947" spans="6:8" x14ac:dyDescent="0.25">
      <c r="F947" s="16"/>
      <c r="G947" s="16"/>
      <c r="H947" s="11" t="str">
        <f>IF(OR($A947="",$F947=""),"",IF($D947="Done",0,MAX(0,Overview!$B$3-$F947)))</f>
        <v/>
      </c>
    </row>
    <row r="948" spans="6:8" x14ac:dyDescent="0.25">
      <c r="F948" s="16"/>
      <c r="G948" s="16"/>
      <c r="H948" s="11" t="str">
        <f>IF(OR($A948="",$F948=""),"",IF($D948="Done",0,MAX(0,Overview!$B$3-$F948)))</f>
        <v/>
      </c>
    </row>
    <row r="949" spans="6:8" x14ac:dyDescent="0.25">
      <c r="F949" s="16"/>
      <c r="G949" s="16"/>
      <c r="H949" s="11" t="str">
        <f>IF(OR($A949="",$F949=""),"",IF($D949="Done",0,MAX(0,Overview!$B$3-$F949)))</f>
        <v/>
      </c>
    </row>
    <row r="950" spans="6:8" x14ac:dyDescent="0.25">
      <c r="F950" s="16"/>
      <c r="G950" s="16"/>
      <c r="H950" s="11" t="str">
        <f>IF(OR($A950="",$F950=""),"",IF($D950="Done",0,MAX(0,Overview!$B$3-$F950)))</f>
        <v/>
      </c>
    </row>
    <row r="951" spans="6:8" x14ac:dyDescent="0.25">
      <c r="F951" s="16"/>
      <c r="G951" s="16"/>
      <c r="H951" s="11" t="str">
        <f>IF(OR($A951="",$F951=""),"",IF($D951="Done",0,MAX(0,Overview!$B$3-$F951)))</f>
        <v/>
      </c>
    </row>
    <row r="952" spans="6:8" x14ac:dyDescent="0.25">
      <c r="F952" s="16"/>
      <c r="G952" s="16"/>
      <c r="H952" s="11" t="str">
        <f>IF(OR($A952="",$F952=""),"",IF($D952="Done",0,MAX(0,Overview!$B$3-$F952)))</f>
        <v/>
      </c>
    </row>
    <row r="953" spans="6:8" x14ac:dyDescent="0.25">
      <c r="F953" s="16"/>
      <c r="G953" s="16"/>
      <c r="H953" s="11" t="str">
        <f>IF(OR($A953="",$F953=""),"",IF($D953="Done",0,MAX(0,Overview!$B$3-$F953)))</f>
        <v/>
      </c>
    </row>
    <row r="954" spans="6:8" x14ac:dyDescent="0.25">
      <c r="F954" s="16"/>
      <c r="G954" s="16"/>
      <c r="H954" s="11" t="str">
        <f>IF(OR($A954="",$F954=""),"",IF($D954="Done",0,MAX(0,Overview!$B$3-$F954)))</f>
        <v/>
      </c>
    </row>
    <row r="955" spans="6:8" x14ac:dyDescent="0.25">
      <c r="F955" s="16"/>
      <c r="G955" s="16"/>
      <c r="H955" s="11" t="str">
        <f>IF(OR($A955="",$F955=""),"",IF($D955="Done",0,MAX(0,Overview!$B$3-$F955)))</f>
        <v/>
      </c>
    </row>
    <row r="956" spans="6:8" x14ac:dyDescent="0.25">
      <c r="F956" s="16"/>
      <c r="G956" s="16"/>
      <c r="H956" s="11" t="str">
        <f>IF(OR($A956="",$F956=""),"",IF($D956="Done",0,MAX(0,Overview!$B$3-$F956)))</f>
        <v/>
      </c>
    </row>
    <row r="957" spans="6:8" x14ac:dyDescent="0.25">
      <c r="F957" s="16"/>
      <c r="G957" s="16"/>
      <c r="H957" s="11" t="str">
        <f>IF(OR($A957="",$F957=""),"",IF($D957="Done",0,MAX(0,Overview!$B$3-$F957)))</f>
        <v/>
      </c>
    </row>
    <row r="958" spans="6:8" x14ac:dyDescent="0.25">
      <c r="F958" s="16"/>
      <c r="G958" s="16"/>
      <c r="H958" s="11" t="str">
        <f>IF(OR($A958="",$F958=""),"",IF($D958="Done",0,MAX(0,Overview!$B$3-$F958)))</f>
        <v/>
      </c>
    </row>
    <row r="959" spans="6:8" x14ac:dyDescent="0.25">
      <c r="F959" s="16"/>
      <c r="G959" s="16"/>
      <c r="H959" s="11" t="str">
        <f>IF(OR($A959="",$F959=""),"",IF($D959="Done",0,MAX(0,Overview!$B$3-$F959)))</f>
        <v/>
      </c>
    </row>
    <row r="960" spans="6:8" x14ac:dyDescent="0.25">
      <c r="F960" s="16"/>
      <c r="G960" s="16"/>
      <c r="H960" s="11" t="str">
        <f>IF(OR($A960="",$F960=""),"",IF($D960="Done",0,MAX(0,Overview!$B$3-$F960)))</f>
        <v/>
      </c>
    </row>
    <row r="961" spans="6:8" x14ac:dyDescent="0.25">
      <c r="F961" s="16"/>
      <c r="G961" s="16"/>
      <c r="H961" s="11" t="str">
        <f>IF(OR($A961="",$F961=""),"",IF($D961="Done",0,MAX(0,Overview!$B$3-$F961)))</f>
        <v/>
      </c>
    </row>
    <row r="962" spans="6:8" x14ac:dyDescent="0.25">
      <c r="F962" s="16"/>
      <c r="G962" s="16"/>
      <c r="H962" s="11" t="str">
        <f>IF(OR($A962="",$F962=""),"",IF($D962="Done",0,MAX(0,Overview!$B$3-$F962)))</f>
        <v/>
      </c>
    </row>
    <row r="963" spans="6:8" x14ac:dyDescent="0.25">
      <c r="F963" s="16"/>
      <c r="G963" s="16"/>
      <c r="H963" s="11" t="str">
        <f>IF(OR($A963="",$F963=""),"",IF($D963="Done",0,MAX(0,Overview!$B$3-$F963)))</f>
        <v/>
      </c>
    </row>
    <row r="964" spans="6:8" x14ac:dyDescent="0.25">
      <c r="F964" s="16"/>
      <c r="G964" s="16"/>
      <c r="H964" s="11" t="str">
        <f>IF(OR($A964="",$F964=""),"",IF($D964="Done",0,MAX(0,Overview!$B$3-$F964)))</f>
        <v/>
      </c>
    </row>
    <row r="965" spans="6:8" x14ac:dyDescent="0.25">
      <c r="F965" s="16"/>
      <c r="G965" s="16"/>
      <c r="H965" s="11" t="str">
        <f>IF(OR($A965="",$F965=""),"",IF($D965="Done",0,MAX(0,Overview!$B$3-$F965)))</f>
        <v/>
      </c>
    </row>
    <row r="966" spans="6:8" x14ac:dyDescent="0.25">
      <c r="F966" s="16"/>
      <c r="G966" s="16"/>
      <c r="H966" s="11" t="str">
        <f>IF(OR($A966="",$F966=""),"",IF($D966="Done",0,MAX(0,Overview!$B$3-$F966)))</f>
        <v/>
      </c>
    </row>
    <row r="967" spans="6:8" x14ac:dyDescent="0.25">
      <c r="F967" s="16"/>
      <c r="G967" s="16"/>
      <c r="H967" s="11" t="str">
        <f>IF(OR($A967="",$F967=""),"",IF($D967="Done",0,MAX(0,Overview!$B$3-$F967)))</f>
        <v/>
      </c>
    </row>
    <row r="968" spans="6:8" x14ac:dyDescent="0.25">
      <c r="F968" s="16"/>
      <c r="G968" s="16"/>
      <c r="H968" s="11" t="str">
        <f>IF(OR($A968="",$F968=""),"",IF($D968="Done",0,MAX(0,Overview!$B$3-$F968)))</f>
        <v/>
      </c>
    </row>
    <row r="969" spans="6:8" x14ac:dyDescent="0.25">
      <c r="F969" s="16"/>
      <c r="G969" s="16"/>
      <c r="H969" s="11" t="str">
        <f>IF(OR($A969="",$F969=""),"",IF($D969="Done",0,MAX(0,Overview!$B$3-$F969)))</f>
        <v/>
      </c>
    </row>
    <row r="970" spans="6:8" x14ac:dyDescent="0.25">
      <c r="F970" s="16"/>
      <c r="G970" s="16"/>
      <c r="H970" s="11" t="str">
        <f>IF(OR($A970="",$F970=""),"",IF($D970="Done",0,MAX(0,Overview!$B$3-$F970)))</f>
        <v/>
      </c>
    </row>
    <row r="971" spans="6:8" x14ac:dyDescent="0.25">
      <c r="F971" s="16"/>
      <c r="G971" s="16"/>
      <c r="H971" s="11" t="str">
        <f>IF(OR($A971="",$F971=""),"",IF($D971="Done",0,MAX(0,Overview!$B$3-$F971)))</f>
        <v/>
      </c>
    </row>
    <row r="972" spans="6:8" x14ac:dyDescent="0.25">
      <c r="F972" s="16"/>
      <c r="G972" s="16"/>
      <c r="H972" s="11" t="str">
        <f>IF(OR($A972="",$F972=""),"",IF($D972="Done",0,MAX(0,Overview!$B$3-$F972)))</f>
        <v/>
      </c>
    </row>
    <row r="973" spans="6:8" x14ac:dyDescent="0.25">
      <c r="F973" s="16"/>
      <c r="G973" s="16"/>
      <c r="H973" s="11" t="str">
        <f>IF(OR($A973="",$F973=""),"",IF($D973="Done",0,MAX(0,Overview!$B$3-$F973)))</f>
        <v/>
      </c>
    </row>
    <row r="974" spans="6:8" x14ac:dyDescent="0.25">
      <c r="F974" s="16"/>
      <c r="G974" s="16"/>
      <c r="H974" s="11" t="str">
        <f>IF(OR($A974="",$F974=""),"",IF($D974="Done",0,MAX(0,Overview!$B$3-$F974)))</f>
        <v/>
      </c>
    </row>
    <row r="975" spans="6:8" x14ac:dyDescent="0.25">
      <c r="F975" s="16"/>
      <c r="G975" s="16"/>
      <c r="H975" s="11" t="str">
        <f>IF(OR($A975="",$F975=""),"",IF($D975="Done",0,MAX(0,Overview!$B$3-$F975)))</f>
        <v/>
      </c>
    </row>
    <row r="976" spans="6:8" x14ac:dyDescent="0.25">
      <c r="F976" s="16"/>
      <c r="G976" s="16"/>
      <c r="H976" s="11" t="str">
        <f>IF(OR($A976="",$F976=""),"",IF($D976="Done",0,MAX(0,Overview!$B$3-$F976)))</f>
        <v/>
      </c>
    </row>
    <row r="977" spans="6:8" x14ac:dyDescent="0.25">
      <c r="F977" s="16"/>
      <c r="G977" s="16"/>
      <c r="H977" s="11" t="str">
        <f>IF(OR($A977="",$F977=""),"",IF($D977="Done",0,MAX(0,Overview!$B$3-$F977)))</f>
        <v/>
      </c>
    </row>
    <row r="978" spans="6:8" x14ac:dyDescent="0.25">
      <c r="F978" s="16"/>
      <c r="G978" s="16"/>
      <c r="H978" s="11" t="str">
        <f>IF(OR($A978="",$F978=""),"",IF($D978="Done",0,MAX(0,Overview!$B$3-$F978)))</f>
        <v/>
      </c>
    </row>
    <row r="979" spans="6:8" x14ac:dyDescent="0.25">
      <c r="F979" s="16"/>
      <c r="G979" s="16"/>
      <c r="H979" s="11" t="str">
        <f>IF(OR($A979="",$F979=""),"",IF($D979="Done",0,MAX(0,Overview!$B$3-$F979)))</f>
        <v/>
      </c>
    </row>
    <row r="980" spans="6:8" x14ac:dyDescent="0.25">
      <c r="F980" s="16"/>
      <c r="G980" s="16"/>
      <c r="H980" s="11" t="str">
        <f>IF(OR($A980="",$F980=""),"",IF($D980="Done",0,MAX(0,Overview!$B$3-$F980)))</f>
        <v/>
      </c>
    </row>
    <row r="981" spans="6:8" x14ac:dyDescent="0.25">
      <c r="F981" s="16"/>
      <c r="G981" s="16"/>
      <c r="H981" s="11" t="str">
        <f>IF(OR($A981="",$F981=""),"",IF($D981="Done",0,MAX(0,Overview!$B$3-$F981)))</f>
        <v/>
      </c>
    </row>
    <row r="982" spans="6:8" x14ac:dyDescent="0.25">
      <c r="F982" s="16"/>
      <c r="G982" s="16"/>
      <c r="H982" s="11" t="str">
        <f>IF(OR($A982="",$F982=""),"",IF($D982="Done",0,MAX(0,Overview!$B$3-$F982)))</f>
        <v/>
      </c>
    </row>
    <row r="983" spans="6:8" x14ac:dyDescent="0.25">
      <c r="F983" s="16"/>
      <c r="G983" s="16"/>
      <c r="H983" s="11" t="str">
        <f>IF(OR($A983="",$F983=""),"",IF($D983="Done",0,MAX(0,Overview!$B$3-$F983)))</f>
        <v/>
      </c>
    </row>
    <row r="984" spans="6:8" x14ac:dyDescent="0.25">
      <c r="F984" s="16"/>
      <c r="G984" s="16"/>
      <c r="H984" s="11" t="str">
        <f>IF(OR($A984="",$F984=""),"",IF($D984="Done",0,MAX(0,Overview!$B$3-$F984)))</f>
        <v/>
      </c>
    </row>
    <row r="985" spans="6:8" x14ac:dyDescent="0.25">
      <c r="F985" s="16"/>
      <c r="G985" s="16"/>
      <c r="H985" s="11" t="str">
        <f>IF(OR($A985="",$F985=""),"",IF($D985="Done",0,MAX(0,Overview!$B$3-$F985)))</f>
        <v/>
      </c>
    </row>
    <row r="986" spans="6:8" x14ac:dyDescent="0.25">
      <c r="F986" s="16"/>
      <c r="G986" s="16"/>
      <c r="H986" s="11" t="str">
        <f>IF(OR($A986="",$F986=""),"",IF($D986="Done",0,MAX(0,Overview!$B$3-$F986)))</f>
        <v/>
      </c>
    </row>
    <row r="987" spans="6:8" x14ac:dyDescent="0.25">
      <c r="F987" s="16"/>
      <c r="G987" s="16"/>
      <c r="H987" s="11" t="str">
        <f>IF(OR($A987="",$F987=""),"",IF($D987="Done",0,MAX(0,Overview!$B$3-$F987)))</f>
        <v/>
      </c>
    </row>
    <row r="988" spans="6:8" x14ac:dyDescent="0.25">
      <c r="F988" s="16"/>
      <c r="G988" s="16"/>
      <c r="H988" s="11" t="str">
        <f>IF(OR($A988="",$F988=""),"",IF($D988="Done",0,MAX(0,Overview!$B$3-$F988)))</f>
        <v/>
      </c>
    </row>
    <row r="989" spans="6:8" x14ac:dyDescent="0.25">
      <c r="F989" s="16"/>
      <c r="G989" s="16"/>
      <c r="H989" s="11" t="str">
        <f>IF(OR($A989="",$F989=""),"",IF($D989="Done",0,MAX(0,Overview!$B$3-$F989)))</f>
        <v/>
      </c>
    </row>
    <row r="990" spans="6:8" x14ac:dyDescent="0.25">
      <c r="F990" s="16"/>
      <c r="G990" s="16"/>
      <c r="H990" s="11" t="str">
        <f>IF(OR($A990="",$F990=""),"",IF($D990="Done",0,MAX(0,Overview!$B$3-$F990)))</f>
        <v/>
      </c>
    </row>
    <row r="991" spans="6:8" x14ac:dyDescent="0.25">
      <c r="F991" s="16"/>
      <c r="G991" s="16"/>
      <c r="H991" s="11" t="str">
        <f>IF(OR($A991="",$F991=""),"",IF($D991="Done",0,MAX(0,Overview!$B$3-$F991)))</f>
        <v/>
      </c>
    </row>
    <row r="992" spans="6:8" x14ac:dyDescent="0.25">
      <c r="F992" s="16"/>
      <c r="G992" s="16"/>
      <c r="H992" s="11" t="str">
        <f>IF(OR($A992="",$F992=""),"",IF($D992="Done",0,MAX(0,Overview!$B$3-$F992)))</f>
        <v/>
      </c>
    </row>
    <row r="993" spans="6:8" x14ac:dyDescent="0.25">
      <c r="F993" s="16"/>
      <c r="G993" s="16"/>
      <c r="H993" s="11" t="str">
        <f>IF(OR($A993="",$F993=""),"",IF($D993="Done",0,MAX(0,Overview!$B$3-$F993)))</f>
        <v/>
      </c>
    </row>
    <row r="994" spans="6:8" x14ac:dyDescent="0.25">
      <c r="F994" s="16"/>
      <c r="G994" s="16"/>
      <c r="H994" s="11" t="str">
        <f>IF(OR($A994="",$F994=""),"",IF($D994="Done",0,MAX(0,Overview!$B$3-$F994)))</f>
        <v/>
      </c>
    </row>
    <row r="995" spans="6:8" x14ac:dyDescent="0.25">
      <c r="F995" s="16"/>
      <c r="G995" s="16"/>
      <c r="H995" s="11" t="str">
        <f>IF(OR($A995="",$F995=""),"",IF($D995="Done",0,MAX(0,Overview!$B$3-$F995)))</f>
        <v/>
      </c>
    </row>
    <row r="996" spans="6:8" x14ac:dyDescent="0.25">
      <c r="F996" s="16"/>
      <c r="G996" s="16"/>
      <c r="H996" s="11" t="str">
        <f>IF(OR($A996="",$F996=""),"",IF($D996="Done",0,MAX(0,Overview!$B$3-$F996)))</f>
        <v/>
      </c>
    </row>
    <row r="997" spans="6:8" x14ac:dyDescent="0.25">
      <c r="F997" s="16"/>
      <c r="G997" s="16"/>
      <c r="H997" s="11" t="str">
        <f>IF(OR($A997="",$F997=""),"",IF($D997="Done",0,MAX(0,Overview!$B$3-$F997)))</f>
        <v/>
      </c>
    </row>
    <row r="998" spans="6:8" x14ac:dyDescent="0.25">
      <c r="F998" s="16"/>
      <c r="G998" s="16"/>
      <c r="H998" s="11" t="str">
        <f>IF(OR($A998="",$F998=""),"",IF($D998="Done",0,MAX(0,Overview!$B$3-$F998)))</f>
        <v/>
      </c>
    </row>
    <row r="999" spans="6:8" x14ac:dyDescent="0.25">
      <c r="F999" s="16"/>
      <c r="G999" s="16"/>
      <c r="H999" s="11" t="str">
        <f>IF(OR($A999="",$F999=""),"",IF($D999="Done",0,MAX(0,Overview!$B$3-$F999)))</f>
        <v/>
      </c>
    </row>
    <row r="1000" spans="6:8" x14ac:dyDescent="0.25">
      <c r="F1000" s="16"/>
      <c r="G1000" s="16"/>
      <c r="H1000" s="11" t="str">
        <f>IF(OR($A1000="",$F1000=""),"",IF($D1000="Done",0,MAX(0,Overview!$B$3-$F1000)))</f>
        <v/>
      </c>
    </row>
  </sheetData>
  <conditionalFormatting sqref="A5:H1000">
    <cfRule type="expression" dxfId="9" priority="1">
      <formula>AND(ISNUMBER($H5),$H5&gt;0)</formula>
    </cfRule>
  </conditionalFormatting>
  <conditionalFormatting sqref="D5:D1000">
    <cfRule type="cellIs" dxfId="10" priority="2" operator="equal">
      <formula>"Done"</formula>
    </cfRule>
    <cfRule type="cellIs" dxfId="11" priority="3" operator="equal">
      <formula>"Blocked"</formula>
    </cfRule>
    <cfRule type="cellIs" dxfId="12" priority="4" operator="equal">
      <formula>"In progress"</formula>
    </cfRule>
  </conditionalFormatting>
  <conditionalFormatting sqref="E5:E1000">
    <cfRule type="cellIs" dxfId="13" priority="5" operator="equal">
      <formula>"Urgent"</formula>
    </cfRule>
  </conditionalFormatting>
  <dataValidations count="3">
    <dataValidation type="list" allowBlank="1" showInputMessage="1" promptTitle="Project ID" prompt="Pick a Project ID from the Projects sheet." showErrorMessage="1" errorStyle="stop" errorTitle="Choose from the list" error="Please pick a value from the drop-down list (edit the list on the Settings sheet)." sqref="B5:B1000">
      <formula1>Projects!$A$5:$A$1000</formula1>
    </dataValidation>
    <dataValidation type="list" allowBlank="1" showInputMessage="1" promptTitle="Status" prompt="Set to Done when finished and add the done date." showErrorMessage="1" errorStyle="stop" errorTitle="Choose from the list" error="Please pick a value from the drop-down list (edit the list on the Settings sheet)." sqref="D5:D1000">
      <formula1>"Not started,In progress,Blocked,Done"</formula1>
    </dataValidation>
    <dataValidation type="list" allowBlank="1" promptTitle="Priority" showErrorMessage="1" errorStyle="stop" errorTitle="Choose from the list" error="Please pick a value from the drop-down list (edit the list on the Settings sheet)." sqref="E5:E1000">
      <formula1>"Low,Medium,High,Urgent"</formula1>
    </dataValidation>
  </dataValidations>
  <pageSetup orientation="landscape" fitToWidth="1"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Overview</vt:lpstr>
      <vt:lpstr>Clients</vt:lpstr>
      <vt:lpstr>Projects</vt:lpstr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CODEVANTASOLUTIONSLTD</dc:creator>
  <dc:title>Freelance Project Tracker</dc:title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