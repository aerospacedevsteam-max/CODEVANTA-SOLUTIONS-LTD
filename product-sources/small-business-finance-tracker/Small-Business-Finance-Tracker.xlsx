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Dashboard" state="visible" r:id="rId5"/>
    <sheet sheetId="3" name="Settings" state="visible" r:id="rId6"/>
    <sheet sheetId="4" name="Income" state="visible" r:id="rId7"/>
    <sheet sheetId="5" name="Expenses" state="visible" r:id="rId8"/>
    <sheet sheetId="6" name="Monthly Summary" state="visible" r:id="rId9"/>
    <sheet sheetId="7" name="Category Summary" state="visible" r:id="rId10"/>
  </sheets>
  <calcPr calcId="171027" fullCalcOnLoad="1"/>
</workbook>
</file>

<file path=xl/sharedStrings.xml><?xml version="1.0" encoding="utf-8"?>
<sst xmlns="http://schemas.openxmlformats.org/spreadsheetml/2006/main" count="262" uniqueCount="149">
  <si>
    <t>Small Business Finance Tracker</t>
  </si>
  <si>
    <t>Welcome! This workbook tracks one financial year of income and expenses and summarises it automatically.</t>
  </si>
  <si>
    <t/>
  </si>
  <si>
    <t>Quick start</t>
  </si>
  <si>
    <t>1. Open "Settings" and enter your business name, a currency label (e.g. INR, USD, EUR), the month your financial year starts (1 = January ... 12 = December) and the calendar year it starts in.</t>
  </si>
  <si>
    <t>2. Still on "Settings", edit the income and expense category lists to match your business (up to 20 of each). Payment methods can be edited too.</t>
  </si>
  <si>
    <t>3. Delete the SAMPLE rows on "Income" and "Expenses" (see below), then record your own entries.</t>
  </si>
  <si>
    <t>4. "Monthly Summary", "Category Summary" and "Dashboard" update automatically. Do not type into the shaded formula cells.</t>
  </si>
  <si>
    <t>IMPORTANT - sample data</t>
  </si>
  <si>
    <t>The 15 income rows and 15 expense rows supplied are fictional SAMPLE data (marked "SAMPLE" in the Notes / Description columns). Delete them before entering real figures.</t>
  </si>
  <si>
    <t>How to delete: on the Income sheet, select the sample rows inside the table, right-click and choose Delete &gt; Table Rows. Repeat on the Expenses sheet. The table keeps its headers and formatting.</t>
  </si>
  <si>
    <t>Sheet guide</t>
  </si>
  <si>
    <t>Settings - business details, financial-year start, category lists and payment methods used by the drop-downs.</t>
  </si>
  <si>
    <t>Income - one row per payment received: date, client, category (drop-down), description, amount, payment method (drop-down), notes.</t>
  </si>
  <si>
    <t>Expenses - one row per cost: date, supplier, category (drop-down), description, amount, tax-deductible Y/N (drop-down).</t>
  </si>
  <si>
    <t>Monthly Summary - 12 months starting at your financial-year start month: income, expenses, net and cumulative net.</t>
  </si>
  <si>
    <t>Category Summary - totals and percentage share for each income and expense category within the financial year.</t>
  </si>
  <si>
    <t>Dashboard - key totals, expense ratio, profit margin, best and worst month, tax-deductible spend and a bar visual per month.</t>
  </si>
  <si>
    <t>Tips</t>
  </si>
  <si>
    <t>- Enter dates as real dates (e.g. 15/04/2026 or 2026-04-15), and amounts as positive numbers without currency symbols.</t>
  </si>
  <si>
    <t>- To add a row, type in the first empty row directly under a table - the table grows automatically. Summaries read rows 5 to 1000 on Income and Expenses.</t>
  </si>
  <si>
    <t>- Entries dated outside the selected financial year are not included in the summaries; the Dashboard shows how many there are.</t>
  </si>
  <si>
    <t>- Amounts that use a category not found on Settings are shown as "Uncategorised" on Category Summary, so totals always add up.</t>
  </si>
  <si>
    <t>- The currency label is only a label: the workbook does not convert currencies.</t>
  </si>
  <si>
    <t>- Start a new copy of the workbook for each financial year.</t>
  </si>
  <si>
    <t>Compatibility</t>
  </si>
  <si>
    <t>Built for Microsoft Excel 2016+ and compatible spreadsheet apps; formulas verified with an automated recalculation test.</t>
  </si>
  <si>
    <t>The workbook uses only standard functions (SUMIFS, COUNTIFS, INDEX, MATCH, DATE, REPT and similar) - no macros, no external links, no dynamic-array functions.</t>
  </si>
  <si>
    <t>This template is an organisational tool and is not accounting or tax advice. Check figures with a qualified adviser before filing returns.</t>
  </si>
  <si>
    <t>Key figures</t>
  </si>
  <si>
    <t>Value</t>
  </si>
  <si>
    <t>Detail</t>
  </si>
  <si>
    <t>Bar scale (largest month)</t>
  </si>
  <si>
    <t>Total income</t>
  </si>
  <si>
    <t>Total expenses</t>
  </si>
  <si>
    <t>Net profit</t>
  </si>
  <si>
    <t>Expense ratio (expenses / income)</t>
  </si>
  <si>
    <t>Profit margin (net / income)</t>
  </si>
  <si>
    <t>Average monthly net</t>
  </si>
  <si>
    <t>Best month (highest net)</t>
  </si>
  <si>
    <t>Worst month (lowest net)</t>
  </si>
  <si>
    <t>Tax-deductible expenses (Y)</t>
  </si>
  <si>
    <t>Number of income entries</t>
  </si>
  <si>
    <t>Number of expense entries</t>
  </si>
  <si>
    <t>Entries dated outside this financial year</t>
  </si>
  <si>
    <t>Monthly income vs expenses (bar length scaled to the largest month)</t>
  </si>
  <si>
    <t>Month</t>
  </si>
  <si>
    <t>Income</t>
  </si>
  <si>
    <t>Income bar</t>
  </si>
  <si>
    <t>Expenses</t>
  </si>
  <si>
    <t>Expenses bar</t>
  </si>
  <si>
    <t>Settings</t>
  </si>
  <si>
    <t>Edit the white cells. Shaded cells are calculated.</t>
  </si>
  <si>
    <t>Business name</t>
  </si>
  <si>
    <t>Your Business Name</t>
  </si>
  <si>
    <t>Currency label</t>
  </si>
  <si>
    <t>INR</t>
  </si>
  <si>
    <t>Financial year start month (1-12)</t>
  </si>
  <si>
    <t>Financial year starts in (year)</t>
  </si>
  <si>
    <t>Financial year begins</t>
  </si>
  <si>
    <t>Financial year ends</t>
  </si>
  <si>
    <t>Up to 20 entries per list. Type over, add or clear cells - drop-downs and summaries follow.</t>
  </si>
  <si>
    <t>Income categories</t>
  </si>
  <si>
    <t>Expense categories</t>
  </si>
  <si>
    <t>Payment methods</t>
  </si>
  <si>
    <t>Client Projects</t>
  </si>
  <si>
    <t>Software &amp; Subscriptions</t>
  </si>
  <si>
    <t>Bank transfer</t>
  </si>
  <si>
    <t>Retainers</t>
  </si>
  <si>
    <t>Equipment</t>
  </si>
  <si>
    <t>Card</t>
  </si>
  <si>
    <t>Product Sales</t>
  </si>
  <si>
    <t>Office &amp; Rent</t>
  </si>
  <si>
    <t>Cash</t>
  </si>
  <si>
    <t>Consulting</t>
  </si>
  <si>
    <t>Travel</t>
  </si>
  <si>
    <t>Online payment</t>
  </si>
  <si>
    <t>Workshops &amp; Training</t>
  </si>
  <si>
    <t>Marketing</t>
  </si>
  <si>
    <t>Cheque</t>
  </si>
  <si>
    <t>Other Income</t>
  </si>
  <si>
    <t>Professional Fees</t>
  </si>
  <si>
    <t>Insurance</t>
  </si>
  <si>
    <t>Bank &amp; Payment Fees</t>
  </si>
  <si>
    <t>Utilities &amp; Phone</t>
  </si>
  <si>
    <t>Other Expenses</t>
  </si>
  <si>
    <t>SAMPLE DATA: rows 5-19 are fictional examples. Delete them (select rows &gt; right-click &gt; Delete &gt; Table Rows) before entering real data.</t>
  </si>
  <si>
    <t>Date</t>
  </si>
  <si>
    <t>Client</t>
  </si>
  <si>
    <t>Category</t>
  </si>
  <si>
    <t>Description</t>
  </si>
  <si>
    <t>Amount</t>
  </si>
  <si>
    <t>Payment method</t>
  </si>
  <si>
    <t>Notes</t>
  </si>
  <si>
    <t>Maple &amp; Finch Interiors</t>
  </si>
  <si>
    <t>SAMPLE - Website redesign - deposit</t>
  </si>
  <si>
    <t>SAMPLE - delete me</t>
  </si>
  <si>
    <t>Brightwater Dental</t>
  </si>
  <si>
    <t>SAMPLE - April support retainer</t>
  </si>
  <si>
    <t>Online shop</t>
  </si>
  <si>
    <t>SAMPLE - Template sales (May batch)</t>
  </si>
  <si>
    <t>SAMPLE - Website redesign - final balance</t>
  </si>
  <si>
    <t>SAMPLE - May support retainer</t>
  </si>
  <si>
    <t>Copperleaf Cafe</t>
  </si>
  <si>
    <t>SAMPLE - Brand strategy workshop</t>
  </si>
  <si>
    <t>SAMPLE - June support retainer</t>
  </si>
  <si>
    <t>SAMPLE - Template sales (July batch)</t>
  </si>
  <si>
    <t>Northgate Community Library</t>
  </si>
  <si>
    <t>SAMPLE - Digital skills session</t>
  </si>
  <si>
    <t>SAMPLE - July support retainer</t>
  </si>
  <si>
    <t>Fernhill Physio</t>
  </si>
  <si>
    <t>SAMPLE - Booking site build</t>
  </si>
  <si>
    <t>SAMPLE - August support retainer</t>
  </si>
  <si>
    <t>SAMPLE - Template sales (September batch)</t>
  </si>
  <si>
    <t>SAMPLE - Menu photography direction</t>
  </si>
  <si>
    <t>SAMPLE - Booking site - phase 2</t>
  </si>
  <si>
    <t>Supplier</t>
  </si>
  <si>
    <t>Tax deductible (Y/N)</t>
  </si>
  <si>
    <t>CloudDesk Software</t>
  </si>
  <si>
    <t>SAMPLE - Design suite subscription</t>
  </si>
  <si>
    <t>Y</t>
  </si>
  <si>
    <t>Pixelworks Hardware</t>
  </si>
  <si>
    <t>SAMPLE - External monitor</t>
  </si>
  <si>
    <t>Regional Rail</t>
  </si>
  <si>
    <t>SAMPLE - Client visit - return ticket</t>
  </si>
  <si>
    <t>Lantern Print Studio</t>
  </si>
  <si>
    <t>SAMPLE - Business cards</t>
  </si>
  <si>
    <t>Harbour Co-working</t>
  </si>
  <si>
    <t>SAMPLE - Desk rental (quarter)</t>
  </si>
  <si>
    <t>Ledgerline Accountants</t>
  </si>
  <si>
    <t>SAMPLE - Year-end accounts</t>
  </si>
  <si>
    <t>Shieldwell Insurance</t>
  </si>
  <si>
    <t>SAMPLE - Professional indemnity cover</t>
  </si>
  <si>
    <t>Corner Street Cafe</t>
  </si>
  <si>
    <t>SAMPLE - Personal lunch (not deductible)</t>
  </si>
  <si>
    <t>N</t>
  </si>
  <si>
    <t>Merchant services provider</t>
  </si>
  <si>
    <t>SAMPLE - Card processing fees</t>
  </si>
  <si>
    <t>Monthly Summary</t>
  </si>
  <si>
    <t>Net</t>
  </si>
  <si>
    <t>Cumulative net</t>
  </si>
  <si>
    <t>Total</t>
  </si>
  <si>
    <t>Category Summary</t>
  </si>
  <si>
    <t>Totals within the selected financial year. Categories come from the Settings sheet.</t>
  </si>
  <si>
    <t>Income category</t>
  </si>
  <si>
    <t>% of income</t>
  </si>
  <si>
    <t>Expense category</t>
  </si>
  <si>
    <t>% of expenses</t>
  </si>
  <si>
    <t>Uncategorised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</si>
</sst>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 mmm yyyy"/>
    <numFmt numFmtId="165" formatCode="&quot;to &quot;dd mmm yyyy"/>
    <numFmt numFmtId="166" formatCode="#,##0.00;[Red]-#,##0.00"/>
    <numFmt numFmtId="167" formatCode="0.0%"/>
    <numFmt numFmtId="168" formatCode="mmm yyyy"/>
    <numFmt numFmtId="169" formatCode="&quot;Net: &quot;#,##0.00;[Red]&quot;Net: &quot;-#,##0.00"/>
  </numFmts>
  <fonts count="11" x14ac:knownFonts="1">
    <font>
      <color theme="1"/>
      <family val="2"/>
      <scheme val="minor"/>
      <sz val="11"/>
      <name val="Calibri"/>
    </font>
    <font>
      <b/>
      <color rgb="FF1F4E5F"/>
      <sz val="18"/>
    </font>
    <font>
      <i/>
      <color rgb="FF64748B"/>
    </font>
    <font>
      <b/>
      <color rgb="FF1F4E5F"/>
      <sz val="13"/>
    </font>
    <font>
      <b/>
      <color rgb="FFB45309"/>
    </font>
    <font>
      <b/>
      <color rgb="FFFFFFFF"/>
    </font>
    <font>
      <b/>
    </font>
    <font>
      <b/>
      <color rgb="FF1F4E5F"/>
      <sz val="12"/>
    </font>
    <font>
      <color rgb="FF16A34A"/>
    </font>
    <font>
      <color rgb="FFDC2626"/>
    </font>
    <font>
      <b/>
      <color rgb="FF1F4E5F"/>
      <sz val="16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/>
      <bottom style="hair">
        <color rgb="FFCBD5E1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5" fillId="2" borderId="0" xfId="0" applyFont="1" applyFill="1" applyAlignment="1">
      <alignment vertical="center" wrapText="1"/>
    </xf>
    <xf numFmtId="166" fontId="0" fillId="3" borderId="0" xfId="0" applyNumberFormat="1" applyFill="1"/>
    <xf numFmtId="0" fontId="6" fillId="0" borderId="0" xfId="0" applyFont="1"/>
    <xf numFmtId="167" fontId="0" fillId="3" borderId="0" xfId="0" applyNumberFormat="1" applyFill="1"/>
    <xf numFmtId="168" fontId="0" fillId="3" borderId="0" xfId="0" applyNumberFormat="1" applyFill="1"/>
    <xf numFmtId="169" fontId="0" fillId="3" borderId="0" xfId="0" applyNumberFormat="1" applyFill="1"/>
    <xf numFmtId="1" fontId="0" fillId="3" borderId="0" xfId="0" applyNumberFormat="1" applyFill="1"/>
    <xf numFmtId="0" fontId="0" fillId="3" borderId="0" xfId="0" applyFill="1"/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0" fontId="10" fillId="0" borderId="0" xfId="0" applyFont="1"/>
    <xf numFmtId="0" fontId="0" fillId="0" borderId="1" xfId="0" applyBorder="1"/>
    <xf numFmtId="164" fontId="0" fillId="3" borderId="0" xfId="0" applyNumberFormat="1" applyFill="1"/>
    <xf numFmtId="0" fontId="0" fillId="0" borderId="2" xfId="0" applyBorder="1"/>
    <xf numFmtId="164" fontId="0" fillId="0" borderId="0" xfId="0" applyNumberFormat="1"/>
    <xf numFmtId="166" fontId="0" fillId="0" borderId="0" xfId="0" applyNumberFormat="1"/>
    <xf numFmtId="164" fontId="10" fillId="0" borderId="0" xfId="0" applyNumberFormat="1" applyFont="1"/>
    <xf numFmtId="164" fontId="4" fillId="0" borderId="0" xfId="0" applyNumberFormat="1" applyFont="1"/>
    <xf numFmtId="0" fontId="6" fillId="0" borderId="3" xfId="0" applyFont="1" applyBorder="1"/>
    <xf numFmtId="166" fontId="6" fillId="3" borderId="3" xfId="0" applyNumberFormat="1" applyFont="1" applyFill="1" applyBorder="1"/>
    <xf numFmtId="0" fontId="0" fillId="0" borderId="3" xfId="0" applyBorder="1"/>
    <xf numFmtId="167" fontId="0" fillId="3" borderId="3" xfId="0" applyNumberFormat="1" applyFill="1" applyBorder="1"/>
  </cellXfs>
  <cellStyles count="1">
    <cellStyle name="Normal" xfId="0" builtinId="0"/>
  </cellStyles>
  <dxfs count="7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color rgb="FF92400E"/>
      </font>
      <fill>
        <patternFill patternType="solid">
          <fgColor rgb="FFFEF3C7"/>
        </patternFill>
      </fill>
    </dxf>
    <dxf>
      <font>
        <color rgb="FF991B1B"/>
      </font>
      <fill>
        <patternFill patternType="solid">
          <fgColor rgb="FFFEE2E2"/>
        </patternFill>
      </fill>
    </dxf>
    <dxf>
      <font>
        <color rgb="FF991B1B"/>
      </font>
      <fill>
        <patternFill patternType="solid">
          <fgColor rgb="FFFEE2E2"/>
        </patternFill>
      </fill>
    </dxf>
    <dxf>
      <font>
        <color rgb="FF166534"/>
      </font>
      <fill>
        <patternFill patternType="solid">
          <fgColor rgb="FFDCFCE7"/>
        </patternFill>
      </fill>
    </dxf>
    <dxf>
      <font>
        <color rgb="FF92400E"/>
      </font>
      <fill>
        <patternFill patternType="solid">
          <f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comeTable" displayName="IncomeTable" ref="A4:G19" totalsRowShown="1" headerRowCount="1">
  <autoFilter ref="A4:G1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Date" totalsRowLabel="Total"/>
    <tableColumn id="2" name="Client" totalsRowFunction="none"/>
    <tableColumn id="3" name="Category" totalsRowFunction="none"/>
    <tableColumn id="4" name="Description" totalsRowFunction="none"/>
    <tableColumn id="5" name="Amount" totalsRowFunction="none"/>
    <tableColumn id="6" name="Payment method" totalsRowFunction="none"/>
    <tableColumn id="7" name="Note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xpensesTable" displayName="ExpensesTable" ref="A4:F19" totalsRowShown="1" headerRowCount="1">
  <autoFilter ref="A4:F1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Date" totalsRowLabel="Total"/>
    <tableColumn id="2" name="Supplier" totalsRowFunction="none"/>
    <tableColumn id="3" name="Category" totalsRowFunction="none"/>
    <tableColumn id="4" name="Description" totalsRowFunction="none"/>
    <tableColumn id="5" name="Amount" totalsRowFunction="none"/>
    <tableColumn id="6" name="Tax deductible (Y/N)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5F"/>
  </sheetPr>
  <dimension ref="A1:A35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2</v>
      </c>
    </row>
    <row r="11" spans="1:1" x14ac:dyDescent="0.25">
      <c r="A11" s="4" t="s">
        <v>8</v>
      </c>
    </row>
    <row r="12" spans="1:1" x14ac:dyDescent="0.25">
      <c r="A12" s="5" t="s">
        <v>9</v>
      </c>
    </row>
    <row r="13" spans="1:1" x14ac:dyDescent="0.25">
      <c r="A13" s="3" t="s">
        <v>10</v>
      </c>
    </row>
    <row r="14" spans="1:1" x14ac:dyDescent="0.25">
      <c r="A14" s="3" t="s">
        <v>2</v>
      </c>
    </row>
    <row r="15" spans="1:1" x14ac:dyDescent="0.25">
      <c r="A15" s="4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2</v>
      </c>
    </row>
    <row r="23" spans="1:1" x14ac:dyDescent="0.25">
      <c r="A23" s="4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</v>
      </c>
    </row>
    <row r="31" spans="1:1" x14ac:dyDescent="0.25">
      <c r="A31" s="4" t="s">
        <v>25</v>
      </c>
    </row>
    <row r="32" spans="1:1" x14ac:dyDescent="0.25">
      <c r="A32" s="3" t="s">
        <v>26</v>
      </c>
    </row>
    <row r="33" spans="1:1" x14ac:dyDescent="0.25">
      <c r="A33" s="3" t="s">
        <v>27</v>
      </c>
    </row>
    <row r="34" spans="1:1" x14ac:dyDescent="0.25">
      <c r="A34" s="3" t="s">
        <v>2</v>
      </c>
    </row>
    <row r="35" spans="1:1" x14ac:dyDescent="0.25">
      <c r="A35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G31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16" customWidth="1"/>
    <col min="3" max="3" width="34" customWidth="1"/>
    <col min="4" max="4" width="16" customWidth="1"/>
    <col min="5" max="5" width="34" customWidth="1"/>
    <col min="6" max="6" width="24" customWidth="1"/>
    <col min="7" max="7" width="14" customWidth="1"/>
  </cols>
  <sheetData>
    <row r="1" spans="1:1" x14ac:dyDescent="0.25">
      <c r="A1" s="1" t="str">
        <f>IF(Settings!$B$4="","Dashboard",Settings!$B$4&amp;" - Dashboard")</f>
        <v>Your Business Name - Dashboard</v>
      </c>
    </row>
    <row r="2" spans="1:3" x14ac:dyDescent="0.25">
      <c r="A2" s="6" t="str">
        <f>"Amounts in "&amp;Settings!$B$5&amp;" - financial year"</f>
        <v>Amounts in INR - financial year</v>
      </c>
      <c r="B2" s="7">
        <f>Settings!$B$8</f>
        <v>46113</v>
      </c>
      <c r="C2" s="8">
        <f>Settings!$B$9</f>
        <v>46477</v>
      </c>
    </row>
    <row r="4" spans="1:7" x14ac:dyDescent="0.25">
      <c r="A4" s="9" t="s">
        <v>29</v>
      </c>
      <c r="B4" s="9" t="s">
        <v>30</v>
      </c>
      <c r="C4" s="9" t="s">
        <v>31</v>
      </c>
      <c r="F4" s="6" t="s">
        <v>32</v>
      </c>
      <c r="G4" s="10">
        <f>MAX(MAX('Monthly Summary'!$B$5:$B$16),MAX('Monthly Summary'!$C$5:$C$16))</f>
        <v>3750</v>
      </c>
    </row>
    <row r="5" spans="1:2" x14ac:dyDescent="0.25">
      <c r="A5" s="11" t="s">
        <v>33</v>
      </c>
      <c r="B5" s="10">
        <f>'Monthly Summary'!$B$17</f>
        <v>14456.5</v>
      </c>
    </row>
    <row r="6" spans="1:2" x14ac:dyDescent="0.25">
      <c r="A6" s="11" t="s">
        <v>34</v>
      </c>
      <c r="B6" s="10">
        <f>'Monthly Summary'!$C$17</f>
        <v>2181.64</v>
      </c>
    </row>
    <row r="7" spans="1:2" x14ac:dyDescent="0.25">
      <c r="A7" s="11" t="s">
        <v>35</v>
      </c>
      <c r="B7" s="10">
        <f>B5-B6</f>
        <v>12274.86</v>
      </c>
    </row>
    <row r="8" spans="1:2" x14ac:dyDescent="0.25">
      <c r="A8" s="11" t="s">
        <v>36</v>
      </c>
      <c r="B8" s="12">
        <f>IF(B5=0,0,B6/B5)</f>
        <v>0.15091066302</v>
      </c>
    </row>
    <row r="9" spans="1:2" x14ac:dyDescent="0.25">
      <c r="A9" s="11" t="s">
        <v>37</v>
      </c>
      <c r="B9" s="12">
        <f>IF(B5=0,0,B7/B5)</f>
        <v>0.84908933698</v>
      </c>
    </row>
    <row r="10" spans="1:2" x14ac:dyDescent="0.25">
      <c r="A10" s="11" t="s">
        <v>38</v>
      </c>
      <c r="B10" s="10">
        <f>B7/12</f>
        <v>1022.905</v>
      </c>
    </row>
    <row r="11" spans="1:3" x14ac:dyDescent="0.25">
      <c r="A11" s="11" t="s">
        <v>39</v>
      </c>
      <c r="B11" s="13">
        <f>INDEX('Monthly Summary'!$A$5:$A$16,MATCH(MAX('Monthly Summary'!$D$5:$D$16),'Monthly Summary'!$D$5:$D$16,0))</f>
        <v>46235</v>
      </c>
      <c r="C11" s="14">
        <f>MAX('Monthly Summary'!$D$5:$D$16)</f>
        <v>3485.01</v>
      </c>
    </row>
    <row r="12" spans="1:3" x14ac:dyDescent="0.25">
      <c r="A12" s="11" t="s">
        <v>40</v>
      </c>
      <c r="B12" s="13">
        <f>INDEX('Monthly Summary'!$A$5:$A$16,MATCH(MIN('Monthly Summary'!$D$5:$D$16),'Monthly Summary'!$D$5:$D$16,0))</f>
        <v>46327</v>
      </c>
      <c r="C12" s="14">
        <f>MIN('Monthly Summary'!$D$5:$D$16)</f>
        <v>0</v>
      </c>
    </row>
    <row r="13" spans="1:2" x14ac:dyDescent="0.25">
      <c r="A13" s="11" t="s">
        <v>41</v>
      </c>
      <c r="B13" s="10">
        <f>SUMIFS(Expenses!$E$5:$E$1000,Expenses!$F$5:$F$1000,"Y",Expenses!$A$5:$A$1000,"&gt;="&amp;Settings!$B$8,Expenses!$A$5:$A$1000,"&lt;="&amp;Settings!$B$9)</f>
        <v>2143.14</v>
      </c>
    </row>
    <row r="14" spans="1:2" x14ac:dyDescent="0.25">
      <c r="A14" s="11" t="s">
        <v>42</v>
      </c>
      <c r="B14" s="15">
        <f>COUNTIFS(Income!$A$5:$A$1000,"&gt;="&amp;Settings!$B$8,Income!$A$5:$A$1000,"&lt;="&amp;Settings!$B$9)</f>
        <v>15</v>
      </c>
    </row>
    <row r="15" spans="1:2" x14ac:dyDescent="0.25">
      <c r="A15" s="11" t="s">
        <v>43</v>
      </c>
      <c r="B15" s="15">
        <f>COUNTIFS(Expenses!$A$5:$A$1000,"&gt;="&amp;Settings!$B$8,Expenses!$A$5:$A$1000,"&lt;="&amp;Settings!$B$9)</f>
        <v>15</v>
      </c>
    </row>
    <row r="16" spans="1:3" x14ac:dyDescent="0.25">
      <c r="A16" s="11" t="s">
        <v>44</v>
      </c>
      <c r="B16" s="15">
        <f>COUNTIFS(Income!$A$5:$A$1000,"&lt;"&amp;Settings!$B$8)+COUNTIFS(Income!$A$5:$A$1000,"&gt;"&amp;Settings!$B$9)+COUNTIFS(Expenses!$A$5:$A$1000,"&lt;"&amp;Settings!$B$8)+COUNTIFS(Expenses!$A$5:$A$1000,"&gt;"&amp;Settings!$B$9)</f>
        <v>0</v>
      </c>
      <c r="C16" s="16" t="str">
        <f>IF(B16&gt;0,"Check dates - these are excluded from all totals","All entries fall inside the year")</f>
        <v>All entries fall inside the year</v>
      </c>
    </row>
    <row r="18" spans="1:1" x14ac:dyDescent="0.25">
      <c r="A18" s="17" t="s">
        <v>45</v>
      </c>
    </row>
    <row r="19" spans="1:5" x14ac:dyDescent="0.25">
      <c r="A19" s="9" t="s">
        <v>46</v>
      </c>
      <c r="B19" s="9" t="s">
        <v>47</v>
      </c>
      <c r="C19" s="9" t="s">
        <v>48</v>
      </c>
      <c r="D19" s="9" t="s">
        <v>49</v>
      </c>
      <c r="E19" s="9" t="s">
        <v>50</v>
      </c>
    </row>
    <row r="20" spans="1:5" x14ac:dyDescent="0.25">
      <c r="A20" s="13">
        <f>'Monthly Summary'!$A$5</f>
        <v>46113</v>
      </c>
      <c r="B20" s="10">
        <f>'Monthly Summary'!$B$5</f>
        <v>2450</v>
      </c>
      <c r="C20" s="18" t="str">
        <f>IF($G$4&lt;=0,"",REPT("█",MAX(0,ROUND(B20/$G$4*30,0))))</f>
        <v>████████████████████</v>
      </c>
      <c r="D20" s="10">
        <f>'Monthly Summary'!$C$5</f>
        <v>343.99</v>
      </c>
      <c r="E20" s="19" t="str">
        <f>IF($G$4&lt;=0,"",REPT("█",MAX(0,ROUND(D20/$G$4*30,0))))</f>
        <v>███</v>
      </c>
    </row>
    <row r="21" spans="1:5" x14ac:dyDescent="0.25">
      <c r="A21" s="13">
        <f>'Monthly Summary'!$A$6</f>
        <v>46143</v>
      </c>
      <c r="B21" s="10">
        <f>'Monthly Summary'!$B$6</f>
        <v>3095.5</v>
      </c>
      <c r="C21" s="18" t="str">
        <f>IF($G$4&lt;=0,"",REPT("█",MAX(0,ROUND(B21/$G$4*30,0))))</f>
        <v>█████████████████████████</v>
      </c>
      <c r="D21" s="10">
        <f>'Monthly Summary'!$C$6</f>
        <v>101.79</v>
      </c>
      <c r="E21" s="19" t="str">
        <f>IF($G$4&lt;=0,"",REPT("█",MAX(0,ROUND(D21/$G$4*30,0))))</f>
        <v>█</v>
      </c>
    </row>
    <row r="22" spans="1:5" x14ac:dyDescent="0.25">
      <c r="A22" s="13">
        <f>'Monthly Summary'!$A$7</f>
        <v>46174</v>
      </c>
      <c r="B22" s="10">
        <f>'Monthly Summary'!$B$7</f>
        <v>1130</v>
      </c>
      <c r="C22" s="18" t="str">
        <f>IF($G$4&lt;=0,"",REPT("█",MAX(0,ROUND(B22/$G$4*30,0))))</f>
        <v>█████████</v>
      </c>
      <c r="D22" s="10">
        <f>'Monthly Summary'!$C$7</f>
        <v>499.99</v>
      </c>
      <c r="E22" s="19" t="str">
        <f>IF($G$4&lt;=0,"",REPT("█",MAX(0,ROUND(D22/$G$4*30,0))))</f>
        <v>████</v>
      </c>
    </row>
    <row r="23" spans="1:5" x14ac:dyDescent="0.25">
      <c r="A23" s="13">
        <f>'Monthly Summary'!$A$8</f>
        <v>46204</v>
      </c>
      <c r="B23" s="10">
        <f>'Monthly Summary'!$B$8</f>
        <v>1862.75</v>
      </c>
      <c r="C23" s="18" t="str">
        <f>IF($G$4&lt;=0,"",REPT("█",MAX(0,ROUND(B23/$G$4*30,0))))</f>
        <v>███████████████</v>
      </c>
      <c r="D23" s="10">
        <f>'Monthly Summary'!$C$8</f>
        <v>504.99</v>
      </c>
      <c r="E23" s="19" t="str">
        <f>IF($G$4&lt;=0,"",REPT("█",MAX(0,ROUND(D23/$G$4*30,0))))</f>
        <v>████</v>
      </c>
    </row>
    <row r="24" spans="1:5" x14ac:dyDescent="0.25">
      <c r="A24" s="13">
        <f>'Monthly Summary'!$A$9</f>
        <v>46235</v>
      </c>
      <c r="B24" s="10">
        <f>'Monthly Summary'!$B$9</f>
        <v>3750</v>
      </c>
      <c r="C24" s="18" t="str">
        <f>IF($G$4&lt;=0,"",REPT("█",MAX(0,ROUND(B24/$G$4*30,0))))</f>
        <v>██████████████████████████████</v>
      </c>
      <c r="D24" s="10">
        <f>'Monthly Summary'!$C$9</f>
        <v>264.99</v>
      </c>
      <c r="E24" s="19" t="str">
        <f>IF($G$4&lt;=0,"",REPT("█",MAX(0,ROUND(D24/$G$4*30,0))))</f>
        <v>██</v>
      </c>
    </row>
    <row r="25" spans="1:5" x14ac:dyDescent="0.25">
      <c r="A25" s="13">
        <f>'Monthly Summary'!$A$10</f>
        <v>46266</v>
      </c>
      <c r="B25" s="10">
        <f>'Monthly Summary'!$B$10</f>
        <v>718.25</v>
      </c>
      <c r="C25" s="18" t="str">
        <f>IF($G$4&lt;=0,"",REPT("█",MAX(0,ROUND(B25/$G$4*30,0))))</f>
        <v>██████</v>
      </c>
      <c r="D25" s="10">
        <f>'Monthly Summary'!$C$10</f>
        <v>453.49</v>
      </c>
      <c r="E25" s="19" t="str">
        <f>IF($G$4&lt;=0,"",REPT("█",MAX(0,ROUND(D25/$G$4*30,0))))</f>
        <v>████</v>
      </c>
    </row>
    <row r="26" spans="1:5" x14ac:dyDescent="0.25">
      <c r="A26" s="13">
        <f>'Monthly Summary'!$A$11</f>
        <v>46296</v>
      </c>
      <c r="B26" s="10">
        <f>'Monthly Summary'!$B$11</f>
        <v>1450</v>
      </c>
      <c r="C26" s="18" t="str">
        <f>IF($G$4&lt;=0,"",REPT("█",MAX(0,ROUND(B26/$G$4*30,0))))</f>
        <v>████████████</v>
      </c>
      <c r="D26" s="10">
        <f>'Monthly Summary'!$C$11</f>
        <v>12.4</v>
      </c>
      <c r="E26" s="19" t="str">
        <f>IF($G$4&lt;=0,"",REPT("█",MAX(0,ROUND(D26/$G$4*30,0))))</f>
        <v/>
      </c>
    </row>
    <row r="27" spans="1:5" x14ac:dyDescent="0.25">
      <c r="A27" s="13">
        <f>'Monthly Summary'!$A$12</f>
        <v>46327</v>
      </c>
      <c r="B27" s="10">
        <f>'Monthly Summary'!$B$12</f>
        <v>0</v>
      </c>
      <c r="C27" s="18" t="str">
        <f>IF($G$4&lt;=0,"",REPT("█",MAX(0,ROUND(B27/$G$4*30,0))))</f>
        <v/>
      </c>
      <c r="D27" s="10">
        <f>'Monthly Summary'!$C$12</f>
        <v>0</v>
      </c>
      <c r="E27" s="19" t="str">
        <f>IF($G$4&lt;=0,"",REPT("█",MAX(0,ROUND(D27/$G$4*30,0))))</f>
        <v/>
      </c>
    </row>
    <row r="28" spans="1:5" x14ac:dyDescent="0.25">
      <c r="A28" s="13">
        <f>'Monthly Summary'!$A$13</f>
        <v>46357</v>
      </c>
      <c r="B28" s="10">
        <f>'Monthly Summary'!$B$13</f>
        <v>0</v>
      </c>
      <c r="C28" s="18" t="str">
        <f>IF($G$4&lt;=0,"",REPT("█",MAX(0,ROUND(B28/$G$4*30,0))))</f>
        <v/>
      </c>
      <c r="D28" s="10">
        <f>'Monthly Summary'!$C$13</f>
        <v>0</v>
      </c>
      <c r="E28" s="19" t="str">
        <f>IF($G$4&lt;=0,"",REPT("█",MAX(0,ROUND(D28/$G$4*30,0))))</f>
        <v/>
      </c>
    </row>
    <row r="29" spans="1:5" x14ac:dyDescent="0.25">
      <c r="A29" s="13">
        <f>'Monthly Summary'!$A$14</f>
        <v>46388</v>
      </c>
      <c r="B29" s="10">
        <f>'Monthly Summary'!$B$14</f>
        <v>0</v>
      </c>
      <c r="C29" s="18" t="str">
        <f>IF($G$4&lt;=0,"",REPT("█",MAX(0,ROUND(B29/$G$4*30,0))))</f>
        <v/>
      </c>
      <c r="D29" s="10">
        <f>'Monthly Summary'!$C$14</f>
        <v>0</v>
      </c>
      <c r="E29" s="19" t="str">
        <f>IF($G$4&lt;=0,"",REPT("█",MAX(0,ROUND(D29/$G$4*30,0))))</f>
        <v/>
      </c>
    </row>
    <row r="30" spans="1:5" x14ac:dyDescent="0.25">
      <c r="A30" s="13">
        <f>'Monthly Summary'!$A$15</f>
        <v>46419</v>
      </c>
      <c r="B30" s="10">
        <f>'Monthly Summary'!$B$15</f>
        <v>0</v>
      </c>
      <c r="C30" s="18" t="str">
        <f>IF($G$4&lt;=0,"",REPT("█",MAX(0,ROUND(B30/$G$4*30,0))))</f>
        <v/>
      </c>
      <c r="D30" s="10">
        <f>'Monthly Summary'!$C$15</f>
        <v>0</v>
      </c>
      <c r="E30" s="19" t="str">
        <f>IF($G$4&lt;=0,"",REPT("█",MAX(0,ROUND(D30/$G$4*30,0))))</f>
        <v/>
      </c>
    </row>
    <row r="31" spans="1:5" x14ac:dyDescent="0.25">
      <c r="A31" s="13">
        <f>'Monthly Summary'!$A$16</f>
        <v>46447</v>
      </c>
      <c r="B31" s="10">
        <f>'Monthly Summary'!$B$16</f>
        <v>0</v>
      </c>
      <c r="C31" s="18" t="str">
        <f>IF($G$4&lt;=0,"",REPT("█",MAX(0,ROUND(B31/$G$4*30,0))))</f>
        <v/>
      </c>
      <c r="D31" s="10">
        <f>'Monthly Summary'!$C$16</f>
        <v>0</v>
      </c>
      <c r="E31" s="19" t="str">
        <f>IF($G$4&lt;=0,"",REPT("█",MAX(0,ROUND(D31/$G$4*30,0))))</f>
        <v/>
      </c>
    </row>
  </sheetData>
  <conditionalFormatting sqref="B7">
    <cfRule type="cellIs" dxfId="0" priority="1" operator="lessThan">
      <formula>0</formula>
    </cfRule>
    <cfRule type="cellIs" dxfId="1" priority="2" operator="greaterThanOrEqual">
      <formula>0</formula>
    </cfRule>
  </conditionalFormatting>
  <conditionalFormatting sqref="B8">
    <cfRule type="cellIs" dxfId="2" priority="3" operator="greaterThan">
      <formula>0.8</formula>
    </cfRule>
  </conditionalFormatting>
  <conditionalFormatting sqref="B16:C16">
    <cfRule type="expression" dxfId="3" priority="4">
      <formula>$B$16&gt;0</formula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38" customWidth="1"/>
    <col min="2" max="2" width="26" customWidth="1"/>
    <col min="3" max="3" width="30" customWidth="1"/>
    <col min="4" max="4" width="4" customWidth="1"/>
    <col min="5" max="5" width="22" customWidth="1"/>
  </cols>
  <sheetData>
    <row r="1" ht="24" customHeight="1" spans="1:1" x14ac:dyDescent="0.25">
      <c r="A1" s="20" t="s">
        <v>51</v>
      </c>
    </row>
    <row r="2" spans="1:1" x14ac:dyDescent="0.25">
      <c r="A2" s="6" t="s">
        <v>52</v>
      </c>
    </row>
    <row r="4" spans="1:2" x14ac:dyDescent="0.25">
      <c r="A4" s="11" t="s">
        <v>53</v>
      </c>
      <c r="B4" s="21" t="s">
        <v>54</v>
      </c>
    </row>
    <row r="5" spans="1:2" x14ac:dyDescent="0.25">
      <c r="A5" s="11" t="s">
        <v>55</v>
      </c>
      <c r="B5" s="21" t="s">
        <v>56</v>
      </c>
    </row>
    <row r="6" spans="1:2" x14ac:dyDescent="0.25">
      <c r="A6" s="11" t="s">
        <v>57</v>
      </c>
      <c r="B6" s="21">
        <v>4</v>
      </c>
    </row>
    <row r="7" spans="1:2" x14ac:dyDescent="0.25">
      <c r="A7" s="11" t="s">
        <v>58</v>
      </c>
      <c r="B7" s="21">
        <v>2026</v>
      </c>
    </row>
    <row r="8" spans="1:2" x14ac:dyDescent="0.25">
      <c r="A8" s="11" t="s">
        <v>59</v>
      </c>
      <c r="B8" s="22">
        <f>DATE(B7,B6,1)</f>
        <v>46113</v>
      </c>
    </row>
    <row r="9" spans="1:2" x14ac:dyDescent="0.25">
      <c r="A9" s="11" t="s">
        <v>60</v>
      </c>
      <c r="B9" s="22">
        <f>DATE(B7,B6+12,1)-1</f>
        <v>46477</v>
      </c>
    </row>
    <row r="11" spans="1:1" x14ac:dyDescent="0.25">
      <c r="A11" s="6" t="s">
        <v>61</v>
      </c>
    </row>
    <row r="12" spans="1:5" x14ac:dyDescent="0.25">
      <c r="A12" s="9" t="s">
        <v>62</v>
      </c>
      <c r="C12" s="9" t="s">
        <v>63</v>
      </c>
      <c r="E12" s="9" t="s">
        <v>64</v>
      </c>
    </row>
    <row r="13" spans="1:5" x14ac:dyDescent="0.25">
      <c r="A13" s="23" t="s">
        <v>65</v>
      </c>
      <c r="C13" s="23" t="s">
        <v>66</v>
      </c>
      <c r="E13" s="23" t="s">
        <v>67</v>
      </c>
    </row>
    <row r="14" spans="1:5" x14ac:dyDescent="0.25">
      <c r="A14" s="23" t="s">
        <v>68</v>
      </c>
      <c r="C14" s="23" t="s">
        <v>69</v>
      </c>
      <c r="E14" s="23" t="s">
        <v>70</v>
      </c>
    </row>
    <row r="15" spans="1:5" x14ac:dyDescent="0.25">
      <c r="A15" s="23" t="s">
        <v>71</v>
      </c>
      <c r="C15" s="23" t="s">
        <v>72</v>
      </c>
      <c r="E15" s="23" t="s">
        <v>73</v>
      </c>
    </row>
    <row r="16" spans="1:5" x14ac:dyDescent="0.25">
      <c r="A16" s="23" t="s">
        <v>74</v>
      </c>
      <c r="C16" s="23" t="s">
        <v>75</v>
      </c>
      <c r="E16" s="23" t="s">
        <v>76</v>
      </c>
    </row>
    <row r="17" spans="1:5" x14ac:dyDescent="0.25">
      <c r="A17" s="23" t="s">
        <v>77</v>
      </c>
      <c r="C17" s="23" t="s">
        <v>78</v>
      </c>
      <c r="E17" s="23" t="s">
        <v>79</v>
      </c>
    </row>
    <row r="18" spans="1:5" x14ac:dyDescent="0.25">
      <c r="A18" s="23" t="s">
        <v>80</v>
      </c>
      <c r="C18" s="23" t="s">
        <v>81</v>
      </c>
      <c r="E18" s="23"/>
    </row>
    <row r="19" spans="1:5" x14ac:dyDescent="0.25">
      <c r="A19" s="23"/>
      <c r="C19" s="23" t="s">
        <v>82</v>
      </c>
      <c r="E19" s="23"/>
    </row>
    <row r="20" spans="1:5" x14ac:dyDescent="0.25">
      <c r="A20" s="23"/>
      <c r="C20" s="23" t="s">
        <v>83</v>
      </c>
      <c r="E20" s="23"/>
    </row>
    <row r="21" spans="1:5" x14ac:dyDescent="0.25">
      <c r="A21" s="23"/>
      <c r="C21" s="23" t="s">
        <v>84</v>
      </c>
      <c r="E21" s="23"/>
    </row>
    <row r="22" spans="1:5" x14ac:dyDescent="0.25">
      <c r="A22" s="23"/>
      <c r="C22" s="23" t="s">
        <v>85</v>
      </c>
      <c r="E22" s="23"/>
    </row>
    <row r="23" spans="1:5" x14ac:dyDescent="0.25">
      <c r="A23" s="23"/>
      <c r="C23" s="23"/>
      <c r="E23" s="23"/>
    </row>
    <row r="24" spans="1:5" x14ac:dyDescent="0.25">
      <c r="A24" s="23"/>
      <c r="C24" s="23"/>
      <c r="E24" s="23"/>
    </row>
    <row r="25" spans="1:5" x14ac:dyDescent="0.25">
      <c r="A25" s="23"/>
      <c r="C25" s="23"/>
      <c r="E25" s="23"/>
    </row>
    <row r="26" spans="1:5" x14ac:dyDescent="0.25">
      <c r="A26" s="23"/>
      <c r="C26" s="23"/>
      <c r="E26" s="23"/>
    </row>
    <row r="27" spans="1:5" x14ac:dyDescent="0.25">
      <c r="A27" s="23"/>
      <c r="C27" s="23"/>
      <c r="E27" s="23"/>
    </row>
    <row r="28" spans="1:5" x14ac:dyDescent="0.25">
      <c r="A28" s="23"/>
      <c r="C28" s="23"/>
      <c r="E28" s="23"/>
    </row>
    <row r="29" spans="1:5" x14ac:dyDescent="0.25">
      <c r="A29" s="23"/>
      <c r="C29" s="23"/>
      <c r="E29" s="23"/>
    </row>
    <row r="30" spans="1:5" x14ac:dyDescent="0.25">
      <c r="A30" s="23"/>
      <c r="C30" s="23"/>
      <c r="E30" s="23"/>
    </row>
    <row r="31" spans="1:5" x14ac:dyDescent="0.25">
      <c r="A31" s="23"/>
      <c r="C31" s="23"/>
      <c r="E31" s="23"/>
    </row>
    <row r="32" spans="1:5" x14ac:dyDescent="0.25">
      <c r="A32" s="23"/>
      <c r="C32" s="23"/>
      <c r="E32" s="23"/>
    </row>
  </sheetData>
  <dataValidations count="2">
    <dataValidation type="whole" showErrorMessage="1" errorTitle="Month number" error="Enter a whole number from 1 (January) to 12 (December)." sqref="B6">
      <formula1>1</formula1>
      <formula2>12</formula2>
    </dataValidation>
    <dataValidation type="whole" showErrorMessage="1" errorTitle="Year" error="Enter a four-digit year, e.g. 2026." sqref="B7">
      <formula1>2000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style="24" customWidth="1"/>
    <col min="2" max="2" width="28" customWidth="1"/>
    <col min="3" max="3" width="24" customWidth="1"/>
    <col min="4" max="4" width="40" customWidth="1"/>
    <col min="5" max="5" width="14" style="25" customWidth="1"/>
    <col min="6" max="6" width="18" customWidth="1"/>
    <col min="7" max="7" width="22" customWidth="1"/>
  </cols>
  <sheetData>
    <row r="1" ht="24" customHeight="1" spans="1:5" x14ac:dyDescent="0.25">
      <c r="A1" s="26" t="s">
        <v>47</v>
      </c>
      <c r="E1" s="25"/>
    </row>
    <row r="2" spans="1:5" x14ac:dyDescent="0.25">
      <c r="A2" s="27" t="s">
        <v>86</v>
      </c>
      <c r="E2" s="25"/>
    </row>
    <row r="4" spans="1:7" x14ac:dyDescent="0.25">
      <c r="A4" s="24" t="s">
        <v>87</v>
      </c>
      <c r="B4" t="s">
        <v>88</v>
      </c>
      <c r="C4" t="s">
        <v>89</v>
      </c>
      <c r="D4" t="s">
        <v>90</v>
      </c>
      <c r="E4" s="25" t="s">
        <v>91</v>
      </c>
      <c r="F4" t="s">
        <v>92</v>
      </c>
      <c r="G4" t="s">
        <v>93</v>
      </c>
    </row>
    <row r="5" spans="1:7" x14ac:dyDescent="0.25">
      <c r="A5" s="24">
        <v>46115</v>
      </c>
      <c r="B5" t="s">
        <v>94</v>
      </c>
      <c r="C5" t="s">
        <v>65</v>
      </c>
      <c r="D5" t="s">
        <v>95</v>
      </c>
      <c r="E5" s="25">
        <v>1800</v>
      </c>
      <c r="F5" t="s">
        <v>67</v>
      </c>
      <c r="G5" t="s">
        <v>96</v>
      </c>
    </row>
    <row r="6" spans="1:7" x14ac:dyDescent="0.25">
      <c r="A6" s="24">
        <v>46133</v>
      </c>
      <c r="B6" t="s">
        <v>97</v>
      </c>
      <c r="C6" t="s">
        <v>68</v>
      </c>
      <c r="D6" t="s">
        <v>98</v>
      </c>
      <c r="E6" s="25">
        <v>650</v>
      </c>
      <c r="F6" t="s">
        <v>67</v>
      </c>
      <c r="G6" t="s">
        <v>96</v>
      </c>
    </row>
    <row r="7" spans="1:7" x14ac:dyDescent="0.25">
      <c r="A7" s="24">
        <v>46148</v>
      </c>
      <c r="B7" t="s">
        <v>99</v>
      </c>
      <c r="C7" t="s">
        <v>71</v>
      </c>
      <c r="D7" t="s">
        <v>100</v>
      </c>
      <c r="E7" s="25">
        <v>245.5</v>
      </c>
      <c r="F7" t="s">
        <v>76</v>
      </c>
      <c r="G7" t="s">
        <v>96</v>
      </c>
    </row>
    <row r="8" spans="1:7" x14ac:dyDescent="0.25">
      <c r="A8" s="24">
        <v>46161</v>
      </c>
      <c r="B8" t="s">
        <v>94</v>
      </c>
      <c r="C8" t="s">
        <v>65</v>
      </c>
      <c r="D8" t="s">
        <v>101</v>
      </c>
      <c r="E8" s="25">
        <v>2200</v>
      </c>
      <c r="F8" t="s">
        <v>67</v>
      </c>
      <c r="G8" t="s">
        <v>96</v>
      </c>
    </row>
    <row r="9" spans="1:7" x14ac:dyDescent="0.25">
      <c r="A9" s="24">
        <v>46163</v>
      </c>
      <c r="B9" t="s">
        <v>97</v>
      </c>
      <c r="C9" t="s">
        <v>68</v>
      </c>
      <c r="D9" t="s">
        <v>102</v>
      </c>
      <c r="E9" s="25">
        <v>650</v>
      </c>
      <c r="F9" t="s">
        <v>67</v>
      </c>
      <c r="G9" t="s">
        <v>96</v>
      </c>
    </row>
    <row r="10" spans="1:7" x14ac:dyDescent="0.25">
      <c r="A10" s="24">
        <v>46183</v>
      </c>
      <c r="B10" t="s">
        <v>103</v>
      </c>
      <c r="C10" t="s">
        <v>74</v>
      </c>
      <c r="D10" t="s">
        <v>104</v>
      </c>
      <c r="E10" s="25">
        <v>480</v>
      </c>
      <c r="F10" t="s">
        <v>70</v>
      </c>
      <c r="G10" t="s">
        <v>96</v>
      </c>
    </row>
    <row r="11" spans="1:7" x14ac:dyDescent="0.25">
      <c r="A11" s="24">
        <v>46195</v>
      </c>
      <c r="B11" t="s">
        <v>97</v>
      </c>
      <c r="C11" t="s">
        <v>68</v>
      </c>
      <c r="D11" t="s">
        <v>105</v>
      </c>
      <c r="E11" s="25">
        <v>650</v>
      </c>
      <c r="F11" t="s">
        <v>67</v>
      </c>
      <c r="G11" t="s">
        <v>96</v>
      </c>
    </row>
    <row r="12" spans="1:7" x14ac:dyDescent="0.25">
      <c r="A12" s="24">
        <v>46211</v>
      </c>
      <c r="B12" t="s">
        <v>99</v>
      </c>
      <c r="C12" t="s">
        <v>71</v>
      </c>
      <c r="D12" t="s">
        <v>106</v>
      </c>
      <c r="E12" s="25">
        <v>312.75</v>
      </c>
      <c r="F12" t="s">
        <v>76</v>
      </c>
      <c r="G12" t="s">
        <v>96</v>
      </c>
    </row>
    <row r="13" spans="1:7" x14ac:dyDescent="0.25">
      <c r="A13" s="24">
        <v>46218</v>
      </c>
      <c r="B13" t="s">
        <v>107</v>
      </c>
      <c r="C13" t="s">
        <v>77</v>
      </c>
      <c r="D13" t="s">
        <v>108</v>
      </c>
      <c r="E13" s="25">
        <v>900</v>
      </c>
      <c r="F13" t="s">
        <v>67</v>
      </c>
      <c r="G13" t="s">
        <v>96</v>
      </c>
    </row>
    <row r="14" spans="1:7" x14ac:dyDescent="0.25">
      <c r="A14" s="24">
        <v>46224</v>
      </c>
      <c r="B14" t="s">
        <v>97</v>
      </c>
      <c r="C14" t="s">
        <v>68</v>
      </c>
      <c r="D14" t="s">
        <v>109</v>
      </c>
      <c r="E14" s="25">
        <v>650</v>
      </c>
      <c r="F14" t="s">
        <v>67</v>
      </c>
      <c r="G14" t="s">
        <v>96</v>
      </c>
    </row>
    <row r="15" spans="1:7" x14ac:dyDescent="0.25">
      <c r="A15" s="24">
        <v>46246</v>
      </c>
      <c r="B15" t="s">
        <v>110</v>
      </c>
      <c r="C15" t="s">
        <v>65</v>
      </c>
      <c r="D15" t="s">
        <v>111</v>
      </c>
      <c r="E15" s="25">
        <v>3100</v>
      </c>
      <c r="F15" t="s">
        <v>67</v>
      </c>
      <c r="G15" t="s">
        <v>96</v>
      </c>
    </row>
    <row r="16" spans="1:7" x14ac:dyDescent="0.25">
      <c r="A16" s="24">
        <v>46255</v>
      </c>
      <c r="B16" t="s">
        <v>97</v>
      </c>
      <c r="C16" t="s">
        <v>68</v>
      </c>
      <c r="D16" t="s">
        <v>112</v>
      </c>
      <c r="E16" s="25">
        <v>650</v>
      </c>
      <c r="F16" t="s">
        <v>67</v>
      </c>
      <c r="G16" t="s">
        <v>96</v>
      </c>
    </row>
    <row r="17" spans="1:7" x14ac:dyDescent="0.25">
      <c r="A17" s="24">
        <v>46269</v>
      </c>
      <c r="B17" t="s">
        <v>99</v>
      </c>
      <c r="C17" t="s">
        <v>71</v>
      </c>
      <c r="D17" t="s">
        <v>113</v>
      </c>
      <c r="E17" s="25">
        <v>198.25</v>
      </c>
      <c r="F17" t="s">
        <v>76</v>
      </c>
      <c r="G17" t="s">
        <v>96</v>
      </c>
    </row>
    <row r="18" spans="1:7" x14ac:dyDescent="0.25">
      <c r="A18" s="24">
        <v>46283</v>
      </c>
      <c r="B18" t="s">
        <v>103</v>
      </c>
      <c r="C18" t="s">
        <v>74</v>
      </c>
      <c r="D18" t="s">
        <v>114</v>
      </c>
      <c r="E18" s="25">
        <v>520</v>
      </c>
      <c r="F18" t="s">
        <v>79</v>
      </c>
      <c r="G18" t="s">
        <v>96</v>
      </c>
    </row>
    <row r="19" spans="1:7" x14ac:dyDescent="0.25">
      <c r="A19" s="24">
        <v>46297</v>
      </c>
      <c r="B19" t="s">
        <v>110</v>
      </c>
      <c r="C19" t="s">
        <v>65</v>
      </c>
      <c r="D19" t="s">
        <v>115</v>
      </c>
      <c r="E19" s="25">
        <v>1450</v>
      </c>
      <c r="F19" t="s">
        <v>67</v>
      </c>
      <c r="G19" t="s">
        <v>96</v>
      </c>
    </row>
  </sheetData>
  <dataValidations count="4">
    <dataValidation type="date" operator="greaterThan" allowBlank="1" showErrorMessage="1" errorTitle="Date" error="Enter a valid date." sqref="A5:A1000">
      <formula1>36525</formula1>
    </dataValidation>
    <dataValidation type="list" allowBlank="1" showInputMessage="1" promptTitle="Category" prompt="Pick an income category (edit list on Settings)." showErrorMessage="1" errorStyle="stop" errorTitle="Choose from the list" error="Please pick a value from the drop-down list (edit the list on the Settings sheet)." sqref="C5:C1000">
      <formula1>Settings!$A$13:$A$32</formula1>
    </dataValidation>
    <dataValidation type="decimal" operator="greaterThanOrEqual" allowBlank="1" showErrorMessage="1" errorTitle="Amount" error="Enter a positive number without a currency symbol." sqref="E5:E1000">
      <formula1>0</formula1>
    </dataValidation>
    <dataValidation type="list" allowBlank="1" showInputMessage="1" promptTitle="Payment method" prompt="Pick how you were paid." showErrorMessage="1" errorStyle="stop" errorTitle="Choose from the list" error="Please pick a value from the drop-down list (edit the list on the Settings sheet)." sqref="F5:F1000">
      <formula1>Settings!$E$13:$E$32</formula1>
    </dataValidation>
  </dataValidations>
  <pageSetup orientation="landscape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style="24" customWidth="1"/>
    <col min="2" max="2" width="28" customWidth="1"/>
    <col min="3" max="3" width="26" customWidth="1"/>
    <col min="4" max="4" width="44" customWidth="1"/>
    <col min="5" max="5" width="14" style="25" customWidth="1"/>
    <col min="6" max="6" width="16" customWidth="1"/>
  </cols>
  <sheetData>
    <row r="1" ht="24" customHeight="1" spans="1:5" x14ac:dyDescent="0.25">
      <c r="A1" s="26" t="s">
        <v>49</v>
      </c>
      <c r="E1" s="25"/>
    </row>
    <row r="2" spans="1:5" x14ac:dyDescent="0.25">
      <c r="A2" s="27" t="s">
        <v>86</v>
      </c>
      <c r="E2" s="25"/>
    </row>
    <row r="4" spans="1:6" x14ac:dyDescent="0.25">
      <c r="A4" s="24" t="s">
        <v>87</v>
      </c>
      <c r="B4" t="s">
        <v>116</v>
      </c>
      <c r="C4" t="s">
        <v>89</v>
      </c>
      <c r="D4" t="s">
        <v>90</v>
      </c>
      <c r="E4" s="25" t="s">
        <v>91</v>
      </c>
      <c r="F4" t="s">
        <v>117</v>
      </c>
    </row>
    <row r="5" spans="1:6" x14ac:dyDescent="0.25">
      <c r="A5" s="24">
        <v>46113</v>
      </c>
      <c r="B5" t="s">
        <v>118</v>
      </c>
      <c r="C5" t="s">
        <v>66</v>
      </c>
      <c r="D5" t="s">
        <v>119</v>
      </c>
      <c r="E5" s="25">
        <v>54.99</v>
      </c>
      <c r="F5" t="s">
        <v>120</v>
      </c>
    </row>
    <row r="6" spans="1:6" x14ac:dyDescent="0.25">
      <c r="A6" s="24">
        <v>46126</v>
      </c>
      <c r="B6" t="s">
        <v>121</v>
      </c>
      <c r="C6" t="s">
        <v>69</v>
      </c>
      <c r="D6" t="s">
        <v>122</v>
      </c>
      <c r="E6" s="25">
        <v>289</v>
      </c>
      <c r="F6" t="s">
        <v>120</v>
      </c>
    </row>
    <row r="7" spans="1:6" x14ac:dyDescent="0.25">
      <c r="A7" s="24">
        <v>46143</v>
      </c>
      <c r="B7" t="s">
        <v>118</v>
      </c>
      <c r="C7" t="s">
        <v>66</v>
      </c>
      <c r="D7" t="s">
        <v>119</v>
      </c>
      <c r="E7" s="25">
        <v>54.99</v>
      </c>
      <c r="F7" t="s">
        <v>120</v>
      </c>
    </row>
    <row r="8" spans="1:6" x14ac:dyDescent="0.25">
      <c r="A8" s="24">
        <v>46151</v>
      </c>
      <c r="B8" t="s">
        <v>123</v>
      </c>
      <c r="C8" t="s">
        <v>75</v>
      </c>
      <c r="D8" t="s">
        <v>124</v>
      </c>
      <c r="E8" s="25">
        <v>46.8</v>
      </c>
      <c r="F8" t="s">
        <v>120</v>
      </c>
    </row>
    <row r="9" spans="1:6" x14ac:dyDescent="0.25">
      <c r="A9" s="24">
        <v>46174</v>
      </c>
      <c r="B9" t="s">
        <v>118</v>
      </c>
      <c r="C9" t="s">
        <v>66</v>
      </c>
      <c r="D9" t="s">
        <v>119</v>
      </c>
      <c r="E9" s="25">
        <v>54.99</v>
      </c>
      <c r="F9" t="s">
        <v>120</v>
      </c>
    </row>
    <row r="10" spans="1:6" x14ac:dyDescent="0.25">
      <c r="A10" s="24">
        <v>46185</v>
      </c>
      <c r="B10" t="s">
        <v>125</v>
      </c>
      <c r="C10" t="s">
        <v>78</v>
      </c>
      <c r="D10" t="s">
        <v>126</v>
      </c>
      <c r="E10" s="25">
        <v>85</v>
      </c>
      <c r="F10" t="s">
        <v>120</v>
      </c>
    </row>
    <row r="11" spans="1:6" x14ac:dyDescent="0.25">
      <c r="A11" s="24">
        <v>46203</v>
      </c>
      <c r="B11" t="s">
        <v>127</v>
      </c>
      <c r="C11" t="s">
        <v>72</v>
      </c>
      <c r="D11" t="s">
        <v>128</v>
      </c>
      <c r="E11" s="25">
        <v>360</v>
      </c>
      <c r="F11" t="s">
        <v>120</v>
      </c>
    </row>
    <row r="12" spans="1:6" x14ac:dyDescent="0.25">
      <c r="A12" s="24">
        <v>46204</v>
      </c>
      <c r="B12" t="s">
        <v>118</v>
      </c>
      <c r="C12" t="s">
        <v>66</v>
      </c>
      <c r="D12" t="s">
        <v>119</v>
      </c>
      <c r="E12" s="25">
        <v>54.99</v>
      </c>
      <c r="F12" t="s">
        <v>120</v>
      </c>
    </row>
    <row r="13" spans="1:6" x14ac:dyDescent="0.25">
      <c r="A13" s="24">
        <v>46222</v>
      </c>
      <c r="B13" t="s">
        <v>129</v>
      </c>
      <c r="C13" t="s">
        <v>81</v>
      </c>
      <c r="D13" t="s">
        <v>130</v>
      </c>
      <c r="E13" s="25">
        <v>450</v>
      </c>
      <c r="F13" t="s">
        <v>120</v>
      </c>
    </row>
    <row r="14" spans="1:6" x14ac:dyDescent="0.25">
      <c r="A14" s="24">
        <v>46235</v>
      </c>
      <c r="B14" t="s">
        <v>118</v>
      </c>
      <c r="C14" t="s">
        <v>66</v>
      </c>
      <c r="D14" t="s">
        <v>119</v>
      </c>
      <c r="E14" s="25">
        <v>54.99</v>
      </c>
      <c r="F14" t="s">
        <v>120</v>
      </c>
    </row>
    <row r="15" spans="1:6" x14ac:dyDescent="0.25">
      <c r="A15" s="24">
        <v>46249</v>
      </c>
      <c r="B15" t="s">
        <v>131</v>
      </c>
      <c r="C15" t="s">
        <v>82</v>
      </c>
      <c r="D15" t="s">
        <v>132</v>
      </c>
      <c r="E15" s="25">
        <v>210</v>
      </c>
      <c r="F15" t="s">
        <v>120</v>
      </c>
    </row>
    <row r="16" spans="1:6" x14ac:dyDescent="0.25">
      <c r="A16" s="24">
        <v>46266</v>
      </c>
      <c r="B16" t="s">
        <v>118</v>
      </c>
      <c r="C16" t="s">
        <v>66</v>
      </c>
      <c r="D16" t="s">
        <v>119</v>
      </c>
      <c r="E16" s="25">
        <v>54.99</v>
      </c>
      <c r="F16" t="s">
        <v>120</v>
      </c>
    </row>
    <row r="17" spans="1:6" x14ac:dyDescent="0.25">
      <c r="A17" s="24">
        <v>46275</v>
      </c>
      <c r="B17" t="s">
        <v>133</v>
      </c>
      <c r="C17" t="s">
        <v>85</v>
      </c>
      <c r="D17" t="s">
        <v>134</v>
      </c>
      <c r="E17" s="25">
        <v>38.5</v>
      </c>
      <c r="F17" t="s">
        <v>135</v>
      </c>
    </row>
    <row r="18" spans="1:6" x14ac:dyDescent="0.25">
      <c r="A18" s="24">
        <v>46295</v>
      </c>
      <c r="B18" t="s">
        <v>127</v>
      </c>
      <c r="C18" t="s">
        <v>72</v>
      </c>
      <c r="D18" t="s">
        <v>128</v>
      </c>
      <c r="E18" s="25">
        <v>360</v>
      </c>
      <c r="F18" t="s">
        <v>120</v>
      </c>
    </row>
    <row r="19" spans="1:6" x14ac:dyDescent="0.25">
      <c r="A19" s="24">
        <v>46300</v>
      </c>
      <c r="B19" t="s">
        <v>136</v>
      </c>
      <c r="C19" t="s">
        <v>83</v>
      </c>
      <c r="D19" t="s">
        <v>137</v>
      </c>
      <c r="E19" s="25">
        <v>12.4</v>
      </c>
      <c r="F19" t="s">
        <v>120</v>
      </c>
    </row>
  </sheetData>
  <dataValidations count="4">
    <dataValidation type="date" operator="greaterThan" allowBlank="1" showErrorMessage="1" errorTitle="Date" error="Enter a valid date." sqref="A5:A1000">
      <formula1>36525</formula1>
    </dataValidation>
    <dataValidation type="list" allowBlank="1" showInputMessage="1" promptTitle="Category" prompt="Pick an expense category (edit list on Settings)." showErrorMessage="1" errorStyle="stop" errorTitle="Choose from the list" error="Please pick a value from the drop-down list (edit the list on the Settings sheet)." sqref="C5:C1000">
      <formula1>Settings!$C$13:$C$32</formula1>
    </dataValidation>
    <dataValidation type="decimal" operator="greaterThanOrEqual" allowBlank="1" showErrorMessage="1" errorTitle="Amount" error="Enter a positive number without a currency symbol." sqref="E5:E1000">
      <formula1>0</formula1>
    </dataValidation>
    <dataValidation type="list" allowBlank="1" showInputMessage="1" promptTitle="Tax deductible?" prompt="Y = allowable business expense, N = not deductible." showErrorMessage="1" errorStyle="stop" errorTitle="Choose from the list" error="Please pick a value from the drop-down list (edit the list on the Settings sheet)." sqref="F5:F1000">
      <formula1>"Y,N"</formula1>
    </dataValidation>
  </dataValidations>
  <pageSetup orientation="landscape" fitToWidth="1"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4" width="16" customWidth="1"/>
    <col min="5" max="5" width="18" customWidth="1"/>
  </cols>
  <sheetData>
    <row r="1" ht="24" customHeight="1" spans="1:1" x14ac:dyDescent="0.25">
      <c r="A1" s="20" t="s">
        <v>138</v>
      </c>
    </row>
    <row r="2" spans="1:3" x14ac:dyDescent="0.25">
      <c r="A2" s="6" t="str">
        <f>"Amounts in "&amp;Settings!$B$5&amp;" - financial year"</f>
        <v>Amounts in INR - financial year</v>
      </c>
      <c r="B2" s="7">
        <f>Settings!$B$8</f>
        <v>46113</v>
      </c>
      <c r="C2" s="8">
        <f>Settings!$B$9</f>
        <v>46477</v>
      </c>
    </row>
    <row r="4" spans="1:5" x14ac:dyDescent="0.25">
      <c r="A4" s="9" t="s">
        <v>46</v>
      </c>
      <c r="B4" s="9" t="s">
        <v>47</v>
      </c>
      <c r="C4" s="9" t="s">
        <v>49</v>
      </c>
      <c r="D4" s="9" t="s">
        <v>139</v>
      </c>
      <c r="E4" s="9" t="s">
        <v>140</v>
      </c>
    </row>
    <row r="5" spans="1:5" x14ac:dyDescent="0.25">
      <c r="A5" s="13">
        <f>DATE(Settings!$B$7,Settings!$B$6+0,1)</f>
        <v>46113</v>
      </c>
      <c r="B5" s="10">
        <f>SUMIFS(Income!$E$5:$E$1000,Income!$A$5:$A$1000,"&gt;="&amp;$A5,Income!$A$5:$A$1000,"&lt;"&amp;DATE(YEAR($A5),MONTH($A5)+1,1))</f>
        <v>2450</v>
      </c>
      <c r="C5" s="10">
        <f>SUMIFS(Expenses!$E$5:$E$1000,Expenses!$A$5:$A$1000,"&gt;="&amp;$A5,Expenses!$A$5:$A$1000,"&lt;"&amp;DATE(YEAR($A5),MONTH($A5)+1,1))</f>
        <v>343.99</v>
      </c>
      <c r="D5" s="10">
        <f>B5-C5</f>
        <v>2106.01</v>
      </c>
      <c r="E5" s="10">
        <f>SUM($D$5:D5)</f>
        <v>2106.01</v>
      </c>
    </row>
    <row r="6" spans="1:5" x14ac:dyDescent="0.25">
      <c r="A6" s="13">
        <f>DATE(Settings!$B$7,Settings!$B$6+1,1)</f>
        <v>46143</v>
      </c>
      <c r="B6" s="10">
        <f>SUMIFS(Income!$E$5:$E$1000,Income!$A$5:$A$1000,"&gt;="&amp;$A6,Income!$A$5:$A$1000,"&lt;"&amp;DATE(YEAR($A6),MONTH($A6)+1,1))</f>
        <v>3095.5</v>
      </c>
      <c r="C6" s="10">
        <f>SUMIFS(Expenses!$E$5:$E$1000,Expenses!$A$5:$A$1000,"&gt;="&amp;$A6,Expenses!$A$5:$A$1000,"&lt;"&amp;DATE(YEAR($A6),MONTH($A6)+1,1))</f>
        <v>101.79</v>
      </c>
      <c r="D6" s="10">
        <f>B6-C6</f>
        <v>2993.71</v>
      </c>
      <c r="E6" s="10">
        <f>SUM($D$5:D6)</f>
        <v>5099.72</v>
      </c>
    </row>
    <row r="7" spans="1:5" x14ac:dyDescent="0.25">
      <c r="A7" s="13">
        <f>DATE(Settings!$B$7,Settings!$B$6+2,1)</f>
        <v>46174</v>
      </c>
      <c r="B7" s="10">
        <f>SUMIFS(Income!$E$5:$E$1000,Income!$A$5:$A$1000,"&gt;="&amp;$A7,Income!$A$5:$A$1000,"&lt;"&amp;DATE(YEAR($A7),MONTH($A7)+1,1))</f>
        <v>1130</v>
      </c>
      <c r="C7" s="10">
        <f>SUMIFS(Expenses!$E$5:$E$1000,Expenses!$A$5:$A$1000,"&gt;="&amp;$A7,Expenses!$A$5:$A$1000,"&lt;"&amp;DATE(YEAR($A7),MONTH($A7)+1,1))</f>
        <v>499.99</v>
      </c>
      <c r="D7" s="10">
        <f>B7-C7</f>
        <v>630.01</v>
      </c>
      <c r="E7" s="10">
        <f>SUM($D$5:D7)</f>
        <v>5729.73</v>
      </c>
    </row>
    <row r="8" spans="1:5" x14ac:dyDescent="0.25">
      <c r="A8" s="13">
        <f>DATE(Settings!$B$7,Settings!$B$6+3,1)</f>
        <v>46204</v>
      </c>
      <c r="B8" s="10">
        <f>SUMIFS(Income!$E$5:$E$1000,Income!$A$5:$A$1000,"&gt;="&amp;$A8,Income!$A$5:$A$1000,"&lt;"&amp;DATE(YEAR($A8),MONTH($A8)+1,1))</f>
        <v>1862.75</v>
      </c>
      <c r="C8" s="10">
        <f>SUMIFS(Expenses!$E$5:$E$1000,Expenses!$A$5:$A$1000,"&gt;="&amp;$A8,Expenses!$A$5:$A$1000,"&lt;"&amp;DATE(YEAR($A8),MONTH($A8)+1,1))</f>
        <v>504.99</v>
      </c>
      <c r="D8" s="10">
        <f>B8-C8</f>
        <v>1357.76</v>
      </c>
      <c r="E8" s="10">
        <f>SUM($D$5:D8)</f>
        <v>7087.49</v>
      </c>
    </row>
    <row r="9" spans="1:5" x14ac:dyDescent="0.25">
      <c r="A9" s="13">
        <f>DATE(Settings!$B$7,Settings!$B$6+4,1)</f>
        <v>46235</v>
      </c>
      <c r="B9" s="10">
        <f>SUMIFS(Income!$E$5:$E$1000,Income!$A$5:$A$1000,"&gt;="&amp;$A9,Income!$A$5:$A$1000,"&lt;"&amp;DATE(YEAR($A9),MONTH($A9)+1,1))</f>
        <v>3750</v>
      </c>
      <c r="C9" s="10">
        <f>SUMIFS(Expenses!$E$5:$E$1000,Expenses!$A$5:$A$1000,"&gt;="&amp;$A9,Expenses!$A$5:$A$1000,"&lt;"&amp;DATE(YEAR($A9),MONTH($A9)+1,1))</f>
        <v>264.99</v>
      </c>
      <c r="D9" s="10">
        <f>B9-C9</f>
        <v>3485.01</v>
      </c>
      <c r="E9" s="10">
        <f>SUM($D$5:D9)</f>
        <v>10572.5</v>
      </c>
    </row>
    <row r="10" spans="1:5" x14ac:dyDescent="0.25">
      <c r="A10" s="13">
        <f>DATE(Settings!$B$7,Settings!$B$6+5,1)</f>
        <v>46266</v>
      </c>
      <c r="B10" s="10">
        <f>SUMIFS(Income!$E$5:$E$1000,Income!$A$5:$A$1000,"&gt;="&amp;$A10,Income!$A$5:$A$1000,"&lt;"&amp;DATE(YEAR($A10),MONTH($A10)+1,1))</f>
        <v>718.25</v>
      </c>
      <c r="C10" s="10">
        <f>SUMIFS(Expenses!$E$5:$E$1000,Expenses!$A$5:$A$1000,"&gt;="&amp;$A10,Expenses!$A$5:$A$1000,"&lt;"&amp;DATE(YEAR($A10),MONTH($A10)+1,1))</f>
        <v>453.49</v>
      </c>
      <c r="D10" s="10">
        <f>B10-C10</f>
        <v>264.76</v>
      </c>
      <c r="E10" s="10">
        <f>SUM($D$5:D10)</f>
        <v>10837.26</v>
      </c>
    </row>
    <row r="11" spans="1:5" x14ac:dyDescent="0.25">
      <c r="A11" s="13">
        <f>DATE(Settings!$B$7,Settings!$B$6+6,1)</f>
        <v>46296</v>
      </c>
      <c r="B11" s="10">
        <f>SUMIFS(Income!$E$5:$E$1000,Income!$A$5:$A$1000,"&gt;="&amp;$A11,Income!$A$5:$A$1000,"&lt;"&amp;DATE(YEAR($A11),MONTH($A11)+1,1))</f>
        <v>1450</v>
      </c>
      <c r="C11" s="10">
        <f>SUMIFS(Expenses!$E$5:$E$1000,Expenses!$A$5:$A$1000,"&gt;="&amp;$A11,Expenses!$A$5:$A$1000,"&lt;"&amp;DATE(YEAR($A11),MONTH($A11)+1,1))</f>
        <v>12.4</v>
      </c>
      <c r="D11" s="10">
        <f>B11-C11</f>
        <v>1437.6</v>
      </c>
      <c r="E11" s="10">
        <f>SUM($D$5:D11)</f>
        <v>12274.86</v>
      </c>
    </row>
    <row r="12" spans="1:5" x14ac:dyDescent="0.25">
      <c r="A12" s="13">
        <f>DATE(Settings!$B$7,Settings!$B$6+7,1)</f>
        <v>46327</v>
      </c>
      <c r="B12" s="10">
        <f>SUMIFS(Income!$E$5:$E$1000,Income!$A$5:$A$1000,"&gt;="&amp;$A12,Income!$A$5:$A$1000,"&lt;"&amp;DATE(YEAR($A12),MONTH($A12)+1,1))</f>
        <v>0</v>
      </c>
      <c r="C12" s="10">
        <f>SUMIFS(Expenses!$E$5:$E$1000,Expenses!$A$5:$A$1000,"&gt;="&amp;$A12,Expenses!$A$5:$A$1000,"&lt;"&amp;DATE(YEAR($A12),MONTH($A12)+1,1))</f>
        <v>0</v>
      </c>
      <c r="D12" s="10">
        <f>B12-C12</f>
        <v>0</v>
      </c>
      <c r="E12" s="10">
        <f>SUM($D$5:D12)</f>
        <v>12274.86</v>
      </c>
    </row>
    <row r="13" spans="1:5" x14ac:dyDescent="0.25">
      <c r="A13" s="13">
        <f>DATE(Settings!$B$7,Settings!$B$6+8,1)</f>
        <v>46357</v>
      </c>
      <c r="B13" s="10">
        <f>SUMIFS(Income!$E$5:$E$1000,Income!$A$5:$A$1000,"&gt;="&amp;$A13,Income!$A$5:$A$1000,"&lt;"&amp;DATE(YEAR($A13),MONTH($A13)+1,1))</f>
        <v>0</v>
      </c>
      <c r="C13" s="10">
        <f>SUMIFS(Expenses!$E$5:$E$1000,Expenses!$A$5:$A$1000,"&gt;="&amp;$A13,Expenses!$A$5:$A$1000,"&lt;"&amp;DATE(YEAR($A13),MONTH($A13)+1,1))</f>
        <v>0</v>
      </c>
      <c r="D13" s="10">
        <f>B13-C13</f>
        <v>0</v>
      </c>
      <c r="E13" s="10">
        <f>SUM($D$5:D13)</f>
        <v>12274.86</v>
      </c>
    </row>
    <row r="14" spans="1:5" x14ac:dyDescent="0.25">
      <c r="A14" s="13">
        <f>DATE(Settings!$B$7,Settings!$B$6+9,1)</f>
        <v>46388</v>
      </c>
      <c r="B14" s="10">
        <f>SUMIFS(Income!$E$5:$E$1000,Income!$A$5:$A$1000,"&gt;="&amp;$A14,Income!$A$5:$A$1000,"&lt;"&amp;DATE(YEAR($A14),MONTH($A14)+1,1))</f>
        <v>0</v>
      </c>
      <c r="C14" s="10">
        <f>SUMIFS(Expenses!$E$5:$E$1000,Expenses!$A$5:$A$1000,"&gt;="&amp;$A14,Expenses!$A$5:$A$1000,"&lt;"&amp;DATE(YEAR($A14),MONTH($A14)+1,1))</f>
        <v>0</v>
      </c>
      <c r="D14" s="10">
        <f>B14-C14</f>
        <v>0</v>
      </c>
      <c r="E14" s="10">
        <f>SUM($D$5:D14)</f>
        <v>12274.86</v>
      </c>
    </row>
    <row r="15" spans="1:5" x14ac:dyDescent="0.25">
      <c r="A15" s="13">
        <f>DATE(Settings!$B$7,Settings!$B$6+10,1)</f>
        <v>46419</v>
      </c>
      <c r="B15" s="10">
        <f>SUMIFS(Income!$E$5:$E$1000,Income!$A$5:$A$1000,"&gt;="&amp;$A15,Income!$A$5:$A$1000,"&lt;"&amp;DATE(YEAR($A15),MONTH($A15)+1,1))</f>
        <v>0</v>
      </c>
      <c r="C15" s="10">
        <f>SUMIFS(Expenses!$E$5:$E$1000,Expenses!$A$5:$A$1000,"&gt;="&amp;$A15,Expenses!$A$5:$A$1000,"&lt;"&amp;DATE(YEAR($A15),MONTH($A15)+1,1))</f>
        <v>0</v>
      </c>
      <c r="D15" s="10">
        <f>B15-C15</f>
        <v>0</v>
      </c>
      <c r="E15" s="10">
        <f>SUM($D$5:D15)</f>
        <v>12274.86</v>
      </c>
    </row>
    <row r="16" spans="1:5" x14ac:dyDescent="0.25">
      <c r="A16" s="13">
        <f>DATE(Settings!$B$7,Settings!$B$6+11,1)</f>
        <v>46447</v>
      </c>
      <c r="B16" s="10">
        <f>SUMIFS(Income!$E$5:$E$1000,Income!$A$5:$A$1000,"&gt;="&amp;$A16,Income!$A$5:$A$1000,"&lt;"&amp;DATE(YEAR($A16),MONTH($A16)+1,1))</f>
        <v>0</v>
      </c>
      <c r="C16" s="10">
        <f>SUMIFS(Expenses!$E$5:$E$1000,Expenses!$A$5:$A$1000,"&gt;="&amp;$A16,Expenses!$A$5:$A$1000,"&lt;"&amp;DATE(YEAR($A16),MONTH($A16)+1,1))</f>
        <v>0</v>
      </c>
      <c r="D16" s="10">
        <f>B16-C16</f>
        <v>0</v>
      </c>
      <c r="E16" s="10">
        <f>SUM($D$5:D16)</f>
        <v>12274.86</v>
      </c>
    </row>
    <row r="17" spans="1:5" x14ac:dyDescent="0.25">
      <c r="A17" s="28" t="s">
        <v>141</v>
      </c>
      <c r="B17" s="29">
        <f>SUM(B5:B16)</f>
        <v>14456.5</v>
      </c>
      <c r="C17" s="29">
        <f>SUM(C5:C16)</f>
        <v>2181.64</v>
      </c>
      <c r="D17" s="29">
        <f>B17-C17</f>
        <v>12274.86</v>
      </c>
      <c r="E17" s="30"/>
    </row>
  </sheetData>
  <conditionalFormatting sqref="D5:E17">
    <cfRule type="cellIs" dxfId="4" priority="1" operator="lessThan">
      <formula>0</formula>
    </cfRule>
    <cfRule type="cellIs" dxfId="5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4" customWidth="1"/>
    <col min="5" max="5" width="28" customWidth="1"/>
    <col min="6" max="6" width="16" customWidth="1"/>
    <col min="7" max="7" width="14" customWidth="1"/>
  </cols>
  <sheetData>
    <row r="1" ht="24" customHeight="1" spans="1:1" x14ac:dyDescent="0.25">
      <c r="A1" s="20" t="s">
        <v>142</v>
      </c>
    </row>
    <row r="2" spans="1:1" x14ac:dyDescent="0.25">
      <c r="A2" s="6" t="s">
        <v>143</v>
      </c>
    </row>
    <row r="4" spans="1:7" x14ac:dyDescent="0.25">
      <c r="A4" s="9" t="s">
        <v>144</v>
      </c>
      <c r="B4" s="9" t="s">
        <v>141</v>
      </c>
      <c r="C4" s="9" t="s">
        <v>145</v>
      </c>
      <c r="E4" s="9" t="s">
        <v>146</v>
      </c>
      <c r="F4" s="9" t="s">
        <v>141</v>
      </c>
      <c r="G4" s="9" t="s">
        <v>147</v>
      </c>
    </row>
    <row r="5" spans="1:7" x14ac:dyDescent="0.25">
      <c r="A5" s="16" t="str">
        <f>IF(Settings!$A$13="","",Settings!$A$13)</f>
        <v>Client Projects</v>
      </c>
      <c r="B5" s="10">
        <f>IF($A5="","",SUMIFS(Income!$E$5:$E$1000,Income!$C$5:$C$1000,$A5,Income!$A$5:$A$1000,"&gt;="&amp;Settings!$B$8,Income!$A$5:$A$1000,"&lt;="&amp;Settings!$B$9))</f>
        <v>8550</v>
      </c>
      <c r="C5" s="12">
        <f>IF($A5="","",IF($B$26=0,0,B5/$B$26))</f>
        <v>0.5914294608</v>
      </c>
      <c r="E5" s="16" t="str">
        <f>IF(Settings!$C$13="","",Settings!$C$13)</f>
        <v>Software &amp; Subscriptions</v>
      </c>
      <c r="F5" s="10">
        <f>IF($E5="","",SUMIFS(Expenses!$E$5:$E$1000,Expenses!$C$5:$C$1000,$E5,Expenses!$A$5:$A$1000,"&gt;="&amp;Settings!$B$8,Expenses!$A$5:$A$1000,"&lt;="&amp;Settings!$B$9))</f>
        <v>329.94</v>
      </c>
      <c r="G5" s="12">
        <f>IF($E5="","",IF($F$26=0,0,F5/$F$26))</f>
        <v>0.15123485085</v>
      </c>
    </row>
    <row r="6" spans="1:7" x14ac:dyDescent="0.25">
      <c r="A6" s="16" t="str">
        <f>IF(Settings!$A$14="","",Settings!$A$14)</f>
        <v>Retainers</v>
      </c>
      <c r="B6" s="10">
        <f>IF($A6="","",SUMIFS(Income!$E$5:$E$1000,Income!$C$5:$C$1000,$A6,Income!$A$5:$A$1000,"&gt;="&amp;Settings!$B$8,Income!$A$5:$A$1000,"&lt;="&amp;Settings!$B$9))</f>
        <v>3250</v>
      </c>
      <c r="C6" s="12">
        <f>IF($A6="","",IF($B$26=0,0,B6/$B$26))</f>
        <v>0.22481236814</v>
      </c>
      <c r="E6" s="16" t="str">
        <f>IF(Settings!$C$14="","",Settings!$C$14)</f>
        <v>Equipment</v>
      </c>
      <c r="F6" s="10">
        <f>IF($E6="","",SUMIFS(Expenses!$E$5:$E$1000,Expenses!$C$5:$C$1000,$E6,Expenses!$A$5:$A$1000,"&gt;="&amp;Settings!$B$8,Expenses!$A$5:$A$1000,"&lt;="&amp;Settings!$B$9))</f>
        <v>289</v>
      </c>
      <c r="G6" s="12">
        <f>IF($E6="","",IF($F$26=0,0,F6/$F$26))</f>
        <v>0.13246915165</v>
      </c>
    </row>
    <row r="7" spans="1:7" x14ac:dyDescent="0.25">
      <c r="A7" s="16" t="str">
        <f>IF(Settings!$A$15="","",Settings!$A$15)</f>
        <v>Product Sales</v>
      </c>
      <c r="B7" s="10">
        <f>IF($A7="","",SUMIFS(Income!$E$5:$E$1000,Income!$C$5:$C$1000,$A7,Income!$A$5:$A$1000,"&gt;="&amp;Settings!$B$8,Income!$A$5:$A$1000,"&lt;="&amp;Settings!$B$9))</f>
        <v>756.5</v>
      </c>
      <c r="C7" s="12">
        <f>IF($A7="","",IF($B$26=0,0,B7/$B$26))</f>
        <v>0.052329401999</v>
      </c>
      <c r="E7" s="16" t="str">
        <f>IF(Settings!$C$15="","",Settings!$C$15)</f>
        <v>Office &amp; Rent</v>
      </c>
      <c r="F7" s="10">
        <f>IF($E7="","",SUMIFS(Expenses!$E$5:$E$1000,Expenses!$C$5:$C$1000,$E7,Expenses!$A$5:$A$1000,"&gt;="&amp;Settings!$B$8,Expenses!$A$5:$A$1000,"&lt;="&amp;Settings!$B$9))</f>
        <v>720</v>
      </c>
      <c r="G7" s="12">
        <f>IF($E7="","",IF($F$26=0,0,F7/$F$26))</f>
        <v>0.3300269522</v>
      </c>
    </row>
    <row r="8" spans="1:7" x14ac:dyDescent="0.25">
      <c r="A8" s="16" t="str">
        <f>IF(Settings!$A$16="","",Settings!$A$16)</f>
        <v>Consulting</v>
      </c>
      <c r="B8" s="10">
        <f>IF($A8="","",SUMIFS(Income!$E$5:$E$1000,Income!$C$5:$C$1000,$A8,Income!$A$5:$A$1000,"&gt;="&amp;Settings!$B$8,Income!$A$5:$A$1000,"&lt;="&amp;Settings!$B$9))</f>
        <v>1000</v>
      </c>
      <c r="C8" s="12">
        <f>IF($A8="","",IF($B$26=0,0,B8/$B$26))</f>
        <v>0.06917303635</v>
      </c>
      <c r="E8" s="16" t="str">
        <f>IF(Settings!$C$16="","",Settings!$C$16)</f>
        <v>Travel</v>
      </c>
      <c r="F8" s="10">
        <f>IF($E8="","",SUMIFS(Expenses!$E$5:$E$1000,Expenses!$C$5:$C$1000,$E8,Expenses!$A$5:$A$1000,"&gt;="&amp;Settings!$B$8,Expenses!$A$5:$A$1000,"&lt;="&amp;Settings!$B$9))</f>
        <v>46.8</v>
      </c>
      <c r="G8" s="12">
        <f>IF($E8="","",IF($F$26=0,0,F8/$F$26))</f>
        <v>0.021451751893</v>
      </c>
    </row>
    <row r="9" spans="1:7" x14ac:dyDescent="0.25">
      <c r="A9" s="16" t="str">
        <f>IF(Settings!$A$17="","",Settings!$A$17)</f>
        <v>Workshops &amp; Training</v>
      </c>
      <c r="B9" s="10">
        <f>IF($A9="","",SUMIFS(Income!$E$5:$E$1000,Income!$C$5:$C$1000,$A9,Income!$A$5:$A$1000,"&gt;="&amp;Settings!$B$8,Income!$A$5:$A$1000,"&lt;="&amp;Settings!$B$9))</f>
        <v>900</v>
      </c>
      <c r="C9" s="12">
        <f>IF($A9="","",IF($B$26=0,0,B9/$B$26))</f>
        <v>0.062255732715</v>
      </c>
      <c r="E9" s="16" t="str">
        <f>IF(Settings!$C$17="","",Settings!$C$17)</f>
        <v>Marketing</v>
      </c>
      <c r="F9" s="10">
        <f>IF($E9="","",SUMIFS(Expenses!$E$5:$E$1000,Expenses!$C$5:$C$1000,$E9,Expenses!$A$5:$A$1000,"&gt;="&amp;Settings!$B$8,Expenses!$A$5:$A$1000,"&lt;="&amp;Settings!$B$9))</f>
        <v>85</v>
      </c>
      <c r="G9" s="12">
        <f>IF($E9="","",IF($F$26=0,0,F9/$F$26))</f>
        <v>0.03896151519</v>
      </c>
    </row>
    <row r="10" spans="1:7" x14ac:dyDescent="0.25">
      <c r="A10" s="16" t="str">
        <f>IF(Settings!$A$18="","",Settings!$A$18)</f>
        <v>Other Income</v>
      </c>
      <c r="B10" s="10">
        <f>IF($A10="","",SUMIFS(Income!$E$5:$E$1000,Income!$C$5:$C$1000,$A10,Income!$A$5:$A$1000,"&gt;="&amp;Settings!$B$8,Income!$A$5:$A$1000,"&lt;="&amp;Settings!$B$9))</f>
        <v>0</v>
      </c>
      <c r="C10" s="12">
        <f>IF($A10="","",IF($B$26=0,0,B10/$B$26))</f>
        <v>0</v>
      </c>
      <c r="E10" s="16" t="str">
        <f>IF(Settings!$C$18="","",Settings!$C$18)</f>
        <v>Professional Fees</v>
      </c>
      <c r="F10" s="10">
        <f>IF($E10="","",SUMIFS(Expenses!$E$5:$E$1000,Expenses!$C$5:$C$1000,$E10,Expenses!$A$5:$A$1000,"&gt;="&amp;Settings!$B$8,Expenses!$A$5:$A$1000,"&lt;="&amp;Settings!$B$9))</f>
        <v>450</v>
      </c>
      <c r="G10" s="12">
        <f>IF($E10="","",IF($F$26=0,0,F10/$F$26))</f>
        <v>0.20626684513</v>
      </c>
    </row>
    <row r="11" spans="1:7" x14ac:dyDescent="0.25">
      <c r="A11" s="16" t="str">
        <f>IF(Settings!$A$19="","",Settings!$A$19)</f>
        <v/>
      </c>
      <c r="B11" s="10" t="str">
        <f>IF($A11="","",SUMIFS(Income!$E$5:$E$1000,Income!$C$5:$C$1000,$A11,Income!$A$5:$A$1000,"&gt;="&amp;Settings!$B$8,Income!$A$5:$A$1000,"&lt;="&amp;Settings!$B$9))</f>
        <v/>
      </c>
      <c r="C11" s="12" t="str">
        <f>IF($A11="","",IF($B$26=0,0,B11/$B$26))</f>
        <v/>
      </c>
      <c r="E11" s="16" t="str">
        <f>IF(Settings!$C$19="","",Settings!$C$19)</f>
        <v>Insurance</v>
      </c>
      <c r="F11" s="10">
        <f>IF($E11="","",SUMIFS(Expenses!$E$5:$E$1000,Expenses!$C$5:$C$1000,$E11,Expenses!$A$5:$A$1000,"&gt;="&amp;Settings!$B$8,Expenses!$A$5:$A$1000,"&lt;="&amp;Settings!$B$9))</f>
        <v>210</v>
      </c>
      <c r="G11" s="12">
        <f>IF($E11="","",IF($F$26=0,0,F11/$F$26))</f>
        <v>0.096257861059</v>
      </c>
    </row>
    <row r="12" spans="1:7" x14ac:dyDescent="0.25">
      <c r="A12" s="16" t="str">
        <f>IF(Settings!$A$20="","",Settings!$A$20)</f>
        <v/>
      </c>
      <c r="B12" s="10" t="str">
        <f>IF($A12="","",SUMIFS(Income!$E$5:$E$1000,Income!$C$5:$C$1000,$A12,Income!$A$5:$A$1000,"&gt;="&amp;Settings!$B$8,Income!$A$5:$A$1000,"&lt;="&amp;Settings!$B$9))</f>
        <v/>
      </c>
      <c r="C12" s="12" t="str">
        <f>IF($A12="","",IF($B$26=0,0,B12/$B$26))</f>
        <v/>
      </c>
      <c r="E12" s="16" t="str">
        <f>IF(Settings!$C$20="","",Settings!$C$20)</f>
        <v>Bank &amp; Payment Fees</v>
      </c>
      <c r="F12" s="10">
        <f>IF($E12="","",SUMIFS(Expenses!$E$5:$E$1000,Expenses!$C$5:$C$1000,$E12,Expenses!$A$5:$A$1000,"&gt;="&amp;Settings!$B$8,Expenses!$A$5:$A$1000,"&lt;="&amp;Settings!$B$9))</f>
        <v>12.4</v>
      </c>
      <c r="G12" s="12">
        <f>IF($E12="","",IF($F$26=0,0,F12/$F$26))</f>
        <v>0.0056837975101</v>
      </c>
    </row>
    <row r="13" spans="1:7" x14ac:dyDescent="0.25">
      <c r="A13" s="16" t="str">
        <f>IF(Settings!$A$21="","",Settings!$A$21)</f>
        <v/>
      </c>
      <c r="B13" s="10" t="str">
        <f>IF($A13="","",SUMIFS(Income!$E$5:$E$1000,Income!$C$5:$C$1000,$A13,Income!$A$5:$A$1000,"&gt;="&amp;Settings!$B$8,Income!$A$5:$A$1000,"&lt;="&amp;Settings!$B$9))</f>
        <v/>
      </c>
      <c r="C13" s="12" t="str">
        <f>IF($A13="","",IF($B$26=0,0,B13/$B$26))</f>
        <v/>
      </c>
      <c r="E13" s="16" t="str">
        <f>IF(Settings!$C$21="","",Settings!$C$21)</f>
        <v>Utilities &amp; Phone</v>
      </c>
      <c r="F13" s="10">
        <f>IF($E13="","",SUMIFS(Expenses!$E$5:$E$1000,Expenses!$C$5:$C$1000,$E13,Expenses!$A$5:$A$1000,"&gt;="&amp;Settings!$B$8,Expenses!$A$5:$A$1000,"&lt;="&amp;Settings!$B$9))</f>
        <v>0</v>
      </c>
      <c r="G13" s="12">
        <f>IF($E13="","",IF($F$26=0,0,F13/$F$26))</f>
        <v>0</v>
      </c>
    </row>
    <row r="14" spans="1:7" x14ac:dyDescent="0.25">
      <c r="A14" s="16" t="str">
        <f>IF(Settings!$A$22="","",Settings!$A$22)</f>
        <v/>
      </c>
      <c r="B14" s="10" t="str">
        <f>IF($A14="","",SUMIFS(Income!$E$5:$E$1000,Income!$C$5:$C$1000,$A14,Income!$A$5:$A$1000,"&gt;="&amp;Settings!$B$8,Income!$A$5:$A$1000,"&lt;="&amp;Settings!$B$9))</f>
        <v/>
      </c>
      <c r="C14" s="12" t="str">
        <f>IF($A14="","",IF($B$26=0,0,B14/$B$26))</f>
        <v/>
      </c>
      <c r="E14" s="16" t="str">
        <f>IF(Settings!$C$22="","",Settings!$C$22)</f>
        <v>Other Expenses</v>
      </c>
      <c r="F14" s="10">
        <f>IF($E14="","",SUMIFS(Expenses!$E$5:$E$1000,Expenses!$C$5:$C$1000,$E14,Expenses!$A$5:$A$1000,"&gt;="&amp;Settings!$B$8,Expenses!$A$5:$A$1000,"&lt;="&amp;Settings!$B$9))</f>
        <v>38.5</v>
      </c>
      <c r="G14" s="12">
        <f>IF($E14="","",IF($F$26=0,0,F14/$F$26))</f>
        <v>0.017647274527</v>
      </c>
    </row>
    <row r="15" spans="1:7" x14ac:dyDescent="0.25">
      <c r="A15" s="16" t="str">
        <f>IF(Settings!$A$23="","",Settings!$A$23)</f>
        <v/>
      </c>
      <c r="B15" s="10" t="str">
        <f>IF($A15="","",SUMIFS(Income!$E$5:$E$1000,Income!$C$5:$C$1000,$A15,Income!$A$5:$A$1000,"&gt;="&amp;Settings!$B$8,Income!$A$5:$A$1000,"&lt;="&amp;Settings!$B$9))</f>
        <v/>
      </c>
      <c r="C15" s="12" t="str">
        <f>IF($A15="","",IF($B$26=0,0,B15/$B$26))</f>
        <v/>
      </c>
      <c r="E15" s="16" t="str">
        <f>IF(Settings!$C$23="","",Settings!$C$23)</f>
        <v/>
      </c>
      <c r="F15" s="10" t="str">
        <f>IF($E15="","",SUMIFS(Expenses!$E$5:$E$1000,Expenses!$C$5:$C$1000,$E15,Expenses!$A$5:$A$1000,"&gt;="&amp;Settings!$B$8,Expenses!$A$5:$A$1000,"&lt;="&amp;Settings!$B$9))</f>
        <v/>
      </c>
      <c r="G15" s="12" t="str">
        <f>IF($E15="","",IF($F$26=0,0,F15/$F$26))</f>
        <v/>
      </c>
    </row>
    <row r="16" spans="1:7" x14ac:dyDescent="0.25">
      <c r="A16" s="16" t="str">
        <f>IF(Settings!$A$24="","",Settings!$A$24)</f>
        <v/>
      </c>
      <c r="B16" s="10" t="str">
        <f>IF($A16="","",SUMIFS(Income!$E$5:$E$1000,Income!$C$5:$C$1000,$A16,Income!$A$5:$A$1000,"&gt;="&amp;Settings!$B$8,Income!$A$5:$A$1000,"&lt;="&amp;Settings!$B$9))</f>
        <v/>
      </c>
      <c r="C16" s="12" t="str">
        <f>IF($A16="","",IF($B$26=0,0,B16/$B$26))</f>
        <v/>
      </c>
      <c r="E16" s="16" t="str">
        <f>IF(Settings!$C$24="","",Settings!$C$24)</f>
        <v/>
      </c>
      <c r="F16" s="10" t="str">
        <f>IF($E16="","",SUMIFS(Expenses!$E$5:$E$1000,Expenses!$C$5:$C$1000,$E16,Expenses!$A$5:$A$1000,"&gt;="&amp;Settings!$B$8,Expenses!$A$5:$A$1000,"&lt;="&amp;Settings!$B$9))</f>
        <v/>
      </c>
      <c r="G16" s="12" t="str">
        <f>IF($E16="","",IF($F$26=0,0,F16/$F$26))</f>
        <v/>
      </c>
    </row>
    <row r="17" spans="1:7" x14ac:dyDescent="0.25">
      <c r="A17" s="16" t="str">
        <f>IF(Settings!$A$25="","",Settings!$A$25)</f>
        <v/>
      </c>
      <c r="B17" s="10" t="str">
        <f>IF($A17="","",SUMIFS(Income!$E$5:$E$1000,Income!$C$5:$C$1000,$A17,Income!$A$5:$A$1000,"&gt;="&amp;Settings!$B$8,Income!$A$5:$A$1000,"&lt;="&amp;Settings!$B$9))</f>
        <v/>
      </c>
      <c r="C17" s="12" t="str">
        <f>IF($A17="","",IF($B$26=0,0,B17/$B$26))</f>
        <v/>
      </c>
      <c r="E17" s="16" t="str">
        <f>IF(Settings!$C$25="","",Settings!$C$25)</f>
        <v/>
      </c>
      <c r="F17" s="10" t="str">
        <f>IF($E17="","",SUMIFS(Expenses!$E$5:$E$1000,Expenses!$C$5:$C$1000,$E17,Expenses!$A$5:$A$1000,"&gt;="&amp;Settings!$B$8,Expenses!$A$5:$A$1000,"&lt;="&amp;Settings!$B$9))</f>
        <v/>
      </c>
      <c r="G17" s="12" t="str">
        <f>IF($E17="","",IF($F$26=0,0,F17/$F$26))</f>
        <v/>
      </c>
    </row>
    <row r="18" spans="1:7" x14ac:dyDescent="0.25">
      <c r="A18" s="16" t="str">
        <f>IF(Settings!$A$26="","",Settings!$A$26)</f>
        <v/>
      </c>
      <c r="B18" s="10" t="str">
        <f>IF($A18="","",SUMIFS(Income!$E$5:$E$1000,Income!$C$5:$C$1000,$A18,Income!$A$5:$A$1000,"&gt;="&amp;Settings!$B$8,Income!$A$5:$A$1000,"&lt;="&amp;Settings!$B$9))</f>
        <v/>
      </c>
      <c r="C18" s="12" t="str">
        <f>IF($A18="","",IF($B$26=0,0,B18/$B$26))</f>
        <v/>
      </c>
      <c r="E18" s="16" t="str">
        <f>IF(Settings!$C$26="","",Settings!$C$26)</f>
        <v/>
      </c>
      <c r="F18" s="10" t="str">
        <f>IF($E18="","",SUMIFS(Expenses!$E$5:$E$1000,Expenses!$C$5:$C$1000,$E18,Expenses!$A$5:$A$1000,"&gt;="&amp;Settings!$B$8,Expenses!$A$5:$A$1000,"&lt;="&amp;Settings!$B$9))</f>
        <v/>
      </c>
      <c r="G18" s="12" t="str">
        <f>IF($E18="","",IF($F$26=0,0,F18/$F$26))</f>
        <v/>
      </c>
    </row>
    <row r="19" spans="1:7" x14ac:dyDescent="0.25">
      <c r="A19" s="16" t="str">
        <f>IF(Settings!$A$27="","",Settings!$A$27)</f>
        <v/>
      </c>
      <c r="B19" s="10" t="str">
        <f>IF($A19="","",SUMIFS(Income!$E$5:$E$1000,Income!$C$5:$C$1000,$A19,Income!$A$5:$A$1000,"&gt;="&amp;Settings!$B$8,Income!$A$5:$A$1000,"&lt;="&amp;Settings!$B$9))</f>
        <v/>
      </c>
      <c r="C19" s="12" t="str">
        <f>IF($A19="","",IF($B$26=0,0,B19/$B$26))</f>
        <v/>
      </c>
      <c r="E19" s="16" t="str">
        <f>IF(Settings!$C$27="","",Settings!$C$27)</f>
        <v/>
      </c>
      <c r="F19" s="10" t="str">
        <f>IF($E19="","",SUMIFS(Expenses!$E$5:$E$1000,Expenses!$C$5:$C$1000,$E19,Expenses!$A$5:$A$1000,"&gt;="&amp;Settings!$B$8,Expenses!$A$5:$A$1000,"&lt;="&amp;Settings!$B$9))</f>
        <v/>
      </c>
      <c r="G19" s="12" t="str">
        <f>IF($E19="","",IF($F$26=0,0,F19/$F$26))</f>
        <v/>
      </c>
    </row>
    <row r="20" spans="1:7" x14ac:dyDescent="0.25">
      <c r="A20" s="16" t="str">
        <f>IF(Settings!$A$28="","",Settings!$A$28)</f>
        <v/>
      </c>
      <c r="B20" s="10" t="str">
        <f>IF($A20="","",SUMIFS(Income!$E$5:$E$1000,Income!$C$5:$C$1000,$A20,Income!$A$5:$A$1000,"&gt;="&amp;Settings!$B$8,Income!$A$5:$A$1000,"&lt;="&amp;Settings!$B$9))</f>
        <v/>
      </c>
      <c r="C20" s="12" t="str">
        <f>IF($A20="","",IF($B$26=0,0,B20/$B$26))</f>
        <v/>
      </c>
      <c r="E20" s="16" t="str">
        <f>IF(Settings!$C$28="","",Settings!$C$28)</f>
        <v/>
      </c>
      <c r="F20" s="10" t="str">
        <f>IF($E20="","",SUMIFS(Expenses!$E$5:$E$1000,Expenses!$C$5:$C$1000,$E20,Expenses!$A$5:$A$1000,"&gt;="&amp;Settings!$B$8,Expenses!$A$5:$A$1000,"&lt;="&amp;Settings!$B$9))</f>
        <v/>
      </c>
      <c r="G20" s="12" t="str">
        <f>IF($E20="","",IF($F$26=0,0,F20/$F$26))</f>
        <v/>
      </c>
    </row>
    <row r="21" spans="1:7" x14ac:dyDescent="0.25">
      <c r="A21" s="16" t="str">
        <f>IF(Settings!$A$29="","",Settings!$A$29)</f>
        <v/>
      </c>
      <c r="B21" s="10" t="str">
        <f>IF($A21="","",SUMIFS(Income!$E$5:$E$1000,Income!$C$5:$C$1000,$A21,Income!$A$5:$A$1000,"&gt;="&amp;Settings!$B$8,Income!$A$5:$A$1000,"&lt;="&amp;Settings!$B$9))</f>
        <v/>
      </c>
      <c r="C21" s="12" t="str">
        <f>IF($A21="","",IF($B$26=0,0,B21/$B$26))</f>
        <v/>
      </c>
      <c r="E21" s="16" t="str">
        <f>IF(Settings!$C$29="","",Settings!$C$29)</f>
        <v/>
      </c>
      <c r="F21" s="10" t="str">
        <f>IF($E21="","",SUMIFS(Expenses!$E$5:$E$1000,Expenses!$C$5:$C$1000,$E21,Expenses!$A$5:$A$1000,"&gt;="&amp;Settings!$B$8,Expenses!$A$5:$A$1000,"&lt;="&amp;Settings!$B$9))</f>
        <v/>
      </c>
      <c r="G21" s="12" t="str">
        <f>IF($E21="","",IF($F$26=0,0,F21/$F$26))</f>
        <v/>
      </c>
    </row>
    <row r="22" spans="1:7" x14ac:dyDescent="0.25">
      <c r="A22" s="16" t="str">
        <f>IF(Settings!$A$30="","",Settings!$A$30)</f>
        <v/>
      </c>
      <c r="B22" s="10" t="str">
        <f>IF($A22="","",SUMIFS(Income!$E$5:$E$1000,Income!$C$5:$C$1000,$A22,Income!$A$5:$A$1000,"&gt;="&amp;Settings!$B$8,Income!$A$5:$A$1000,"&lt;="&amp;Settings!$B$9))</f>
        <v/>
      </c>
      <c r="C22" s="12" t="str">
        <f>IF($A22="","",IF($B$26=0,0,B22/$B$26))</f>
        <v/>
      </c>
      <c r="E22" s="16" t="str">
        <f>IF(Settings!$C$30="","",Settings!$C$30)</f>
        <v/>
      </c>
      <c r="F22" s="10" t="str">
        <f>IF($E22="","",SUMIFS(Expenses!$E$5:$E$1000,Expenses!$C$5:$C$1000,$E22,Expenses!$A$5:$A$1000,"&gt;="&amp;Settings!$B$8,Expenses!$A$5:$A$1000,"&lt;="&amp;Settings!$B$9))</f>
        <v/>
      </c>
      <c r="G22" s="12" t="str">
        <f>IF($E22="","",IF($F$26=0,0,F22/$F$26))</f>
        <v/>
      </c>
    </row>
    <row r="23" spans="1:7" x14ac:dyDescent="0.25">
      <c r="A23" s="16" t="str">
        <f>IF(Settings!$A$31="","",Settings!$A$31)</f>
        <v/>
      </c>
      <c r="B23" s="10" t="str">
        <f>IF($A23="","",SUMIFS(Income!$E$5:$E$1000,Income!$C$5:$C$1000,$A23,Income!$A$5:$A$1000,"&gt;="&amp;Settings!$B$8,Income!$A$5:$A$1000,"&lt;="&amp;Settings!$B$9))</f>
        <v/>
      </c>
      <c r="C23" s="12" t="str">
        <f>IF($A23="","",IF($B$26=0,0,B23/$B$26))</f>
        <v/>
      </c>
      <c r="E23" s="16" t="str">
        <f>IF(Settings!$C$31="","",Settings!$C$31)</f>
        <v/>
      </c>
      <c r="F23" s="10" t="str">
        <f>IF($E23="","",SUMIFS(Expenses!$E$5:$E$1000,Expenses!$C$5:$C$1000,$E23,Expenses!$A$5:$A$1000,"&gt;="&amp;Settings!$B$8,Expenses!$A$5:$A$1000,"&lt;="&amp;Settings!$B$9))</f>
        <v/>
      </c>
      <c r="G23" s="12" t="str">
        <f>IF($E23="","",IF($F$26=0,0,F23/$F$26))</f>
        <v/>
      </c>
    </row>
    <row r="24" spans="1:7" x14ac:dyDescent="0.25">
      <c r="A24" s="16" t="str">
        <f>IF(Settings!$A$32="","",Settings!$A$32)</f>
        <v/>
      </c>
      <c r="B24" s="10" t="str">
        <f>IF($A24="","",SUMIFS(Income!$E$5:$E$1000,Income!$C$5:$C$1000,$A24,Income!$A$5:$A$1000,"&gt;="&amp;Settings!$B$8,Income!$A$5:$A$1000,"&lt;="&amp;Settings!$B$9))</f>
        <v/>
      </c>
      <c r="C24" s="12" t="str">
        <f>IF($A24="","",IF($B$26=0,0,B24/$B$26))</f>
        <v/>
      </c>
      <c r="E24" s="16" t="str">
        <f>IF(Settings!$C$32="","",Settings!$C$32)</f>
        <v/>
      </c>
      <c r="F24" s="10" t="str">
        <f>IF($E24="","",SUMIFS(Expenses!$E$5:$E$1000,Expenses!$C$5:$C$1000,$E24,Expenses!$A$5:$A$1000,"&gt;="&amp;Settings!$B$8,Expenses!$A$5:$A$1000,"&lt;="&amp;Settings!$B$9))</f>
        <v/>
      </c>
      <c r="G24" s="12" t="str">
        <f>IF($E24="","",IF($F$26=0,0,F24/$F$26))</f>
        <v/>
      </c>
    </row>
    <row r="25" spans="1:7" x14ac:dyDescent="0.25">
      <c r="A25" t="s">
        <v>148</v>
      </c>
      <c r="B25" s="10">
        <f>B26-SUM(B5:B24)</f>
        <v>0</v>
      </c>
      <c r="C25" s="12">
        <f>IF($B$26=0,0,B25/$B$26)</f>
        <v>0</v>
      </c>
      <c r="E25" t="s">
        <v>148</v>
      </c>
      <c r="F25" s="10">
        <f>F26-SUM(F5:F24)</f>
        <v>0</v>
      </c>
      <c r="G25" s="12">
        <f>IF($F$26=0,0,F25/$F$26)</f>
        <v>0</v>
      </c>
    </row>
    <row r="26" spans="1:7" x14ac:dyDescent="0.25">
      <c r="A26" s="28" t="s">
        <v>33</v>
      </c>
      <c r="B26" s="29">
        <f>SUMIFS(Income!$E$5:$E$1000,Income!$A$5:$A$1000,"&gt;="&amp;Settings!$B$8,Income!$A$5:$A$1000,"&lt;="&amp;Settings!$B$9)</f>
        <v>14456.5</v>
      </c>
      <c r="C26" s="31">
        <f>IF($B$26=0,0,1)</f>
        <v>1</v>
      </c>
      <c r="E26" s="28" t="s">
        <v>34</v>
      </c>
      <c r="F26" s="29">
        <f>SUMIFS(Expenses!$E$5:$E$1000,Expenses!$A$5:$A$1000,"&gt;="&amp;Settings!$B$8,Expenses!$A$5:$A$1000,"&lt;="&amp;Settings!$B$9)</f>
        <v>2181.64</v>
      </c>
      <c r="G26" s="31">
        <f>IF($F$26=0,0,1)</f>
        <v>1</v>
      </c>
    </row>
  </sheetData>
  <conditionalFormatting sqref="C5:C24 G5:G24">
    <cfRule type="dataBar" priority="1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{746EE82A-34ED-4555-8DF2-2007A61A3608}</x14:id>
        </ext>
      </extLst>
    </cfRule>
  </conditionalFormatting>
  <conditionalFormatting sqref="B25:C25 F25:G25">
    <cfRule type="cellIs" dxfId="6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6EE82A-34ED-4555-8DF2-2007A61A3608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C5:C24 G5:G24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Dashboard</vt:lpstr>
      <vt:lpstr>Settings</vt:lpstr>
      <vt:lpstr>Income</vt:lpstr>
      <vt:lpstr>Expenses</vt:lpstr>
      <vt:lpstr>Monthly Summary</vt:lpstr>
      <vt:lpstr>Category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CODEVANTASOLUTIONSLTD</dc:creator>
  <dc:title>Small Business Finance Tracker</dc:title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